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ijay laxmi\Downloads\"/>
    </mc:Choice>
  </mc:AlternateContent>
  <xr:revisionPtr revIDLastSave="0" documentId="13_ncr:1_{B6F04B05-CCBB-4FF5-A6F2-6948F5604180}" xr6:coauthVersionLast="47" xr6:coauthVersionMax="47" xr10:uidLastSave="{00000000-0000-0000-0000-000000000000}"/>
  <bookViews>
    <workbookView xWindow="-110" yWindow="-110" windowWidth="19420" windowHeight="10300" activeTab="1" xr2:uid="{F8420BDF-C08E-4FBB-891B-F574F63AC6D0}"/>
  </bookViews>
  <sheets>
    <sheet name="Sheets Design" sheetId="2" r:id="rId1"/>
    <sheet name="Dashboard" sheetId="3" r:id="rId2"/>
    <sheet name="Raw Data" sheetId="1" r:id="rId3"/>
  </sheets>
  <definedNames>
    <definedName name="_xlchart.v2.0" hidden="1">'Sheets Design'!$D$81:$D$83</definedName>
    <definedName name="_xlchart.v2.1" hidden="1">'Sheets Design'!$E$80</definedName>
    <definedName name="_xlchart.v2.2" hidden="1">'Sheets Design'!$E$81:$E$83</definedName>
    <definedName name="_xlchart.v2.3" hidden="1">'Sheets Design'!$D$81:$D$83</definedName>
    <definedName name="_xlchart.v2.4" hidden="1">'Sheets Design'!$E$80</definedName>
    <definedName name="_xlchart.v2.5" hidden="1">'Sheets Design'!$E$81:$E$83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3" i="2" l="1"/>
  <c r="D82" i="2"/>
  <c r="D81" i="2"/>
  <c r="B10" i="2"/>
  <c r="A10" i="2"/>
  <c r="D10" i="2"/>
  <c r="C10" i="2"/>
  <c r="E83" i="2"/>
  <c r="E82" i="2"/>
  <c r="E81" i="2"/>
</calcChain>
</file>

<file path=xl/sharedStrings.xml><?xml version="1.0" encoding="utf-8"?>
<sst xmlns="http://schemas.openxmlformats.org/spreadsheetml/2006/main" count="59764" uniqueCount="1631">
  <si>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</si>
  <si>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</si>
  <si>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</si>
  <si>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</si>
  <si>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</si>
  <si>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</si>
  <si>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</si>
  <si>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</si>
  <si>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</si>
  <si>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</si>
  <si>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</si>
  <si>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</si>
  <si>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</si>
  <si>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</si>
  <si>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</si>
  <si>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</si>
  <si>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</si>
  <si>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</si>
  <si>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</si>
  <si>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</si>
  <si>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</si>
  <si>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</si>
  <si>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</si>
  <si>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</si>
  <si>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</si>
  <si>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</si>
  <si>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</si>
  <si>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</si>
  <si>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</si>
  <si>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</si>
  <si>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</si>
  <si>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</si>
  <si>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</si>
  <si>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</si>
  <si>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</si>
  <si>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</si>
  <si>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</si>
  <si>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</si>
  <si>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</si>
  <si>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</si>
  <si>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</si>
  <si>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</si>
  <si>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</si>
  <si>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</si>
  <si>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</si>
  <si>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</si>
  <si>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</si>
  <si>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</si>
  <si>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</si>
  <si>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</si>
  <si>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</si>
  <si>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</si>
  <si>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</si>
  <si>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</si>
  <si>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</si>
  <si>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</si>
  <si>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</si>
  <si>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</si>
  <si>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</si>
  <si>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</si>
  <si>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</si>
  <si>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</si>
  <si>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</si>
  <si>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</si>
  <si>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</si>
  <si>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</si>
  <si>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</si>
  <si>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</si>
  <si>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</si>
  <si>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</si>
  <si>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</si>
  <si>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</si>
  <si>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</si>
  <si>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</si>
  <si>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</si>
  <si>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</si>
  <si>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</si>
  <si>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</si>
  <si>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</si>
  <si>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</si>
  <si>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</si>
  <si>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</si>
  <si>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</si>
  <si>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</si>
  <si>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</si>
  <si>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</si>
  <si>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</si>
  <si>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</si>
  <si>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</si>
  <si>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</si>
  <si>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</si>
  <si>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</si>
  <si>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</si>
  <si>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</si>
  <si>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</si>
  <si>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</si>
  <si>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</si>
  <si>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</si>
  <si>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</si>
  <si>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</si>
  <si>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</si>
  <si>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</si>
  <si>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</si>
  <si>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</si>
  <si>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</si>
  <si>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</si>
  <si>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</si>
  <si>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</si>
  <si>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</si>
  <si>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</si>
  <si>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</si>
  <si>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</si>
  <si>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</si>
  <si>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</si>
  <si>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</si>
  <si>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</si>
  <si>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</si>
  <si>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</si>
  <si>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</si>
  <si>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</si>
  <si>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</si>
  <si>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</si>
  <si>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</si>
  <si>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</si>
  <si>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</si>
  <si>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</si>
  <si>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</si>
  <si>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</si>
  <si>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</si>
  <si>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</si>
  <si>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</si>
  <si>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</si>
  <si>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</si>
  <si>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</si>
  <si>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</si>
  <si>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</si>
  <si>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</si>
  <si>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</si>
  <si>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</si>
  <si>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</si>
  <si>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</si>
  <si>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</si>
  <si>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</si>
  <si>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</si>
  <si>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</si>
  <si>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</si>
  <si>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</si>
  <si>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</si>
  <si>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</si>
  <si>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</si>
  <si>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</si>
  <si>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</si>
  <si>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</si>
  <si>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</si>
  <si>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</si>
  <si>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</si>
  <si>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</si>
  <si>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</si>
  <si>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</si>
  <si>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</si>
  <si>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</si>
  <si>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</si>
  <si>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</si>
  <si>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</si>
  <si>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</si>
  <si>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</si>
  <si>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</si>
  <si>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</si>
  <si>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</si>
  <si>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</si>
  <si>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</si>
  <si>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</si>
  <si>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</si>
  <si>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</si>
  <si>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</si>
  <si>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</si>
  <si>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</si>
  <si>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</si>
  <si>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</si>
  <si>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</si>
  <si>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</si>
  <si>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</si>
  <si>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</si>
  <si>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</si>
  <si>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</si>
  <si>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</si>
  <si>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</si>
  <si>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</si>
  <si>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</si>
  <si>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</si>
  <si>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</si>
  <si>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</si>
  <si>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</si>
  <si>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</si>
  <si>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</si>
  <si>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</si>
  <si>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</si>
  <si>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</si>
  <si>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</si>
  <si>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</si>
  <si>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</si>
  <si>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</si>
  <si>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</si>
  <si>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</si>
  <si>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</si>
  <si>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</si>
  <si>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</si>
  <si>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</si>
  <si>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</si>
  <si>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</si>
  <si>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</si>
  <si>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</si>
  <si>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</si>
  <si>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</si>
  <si>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</si>
  <si>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</si>
  <si>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</si>
  <si>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</si>
  <si>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</si>
  <si>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</si>
  <si>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</si>
  <si>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</si>
  <si>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</si>
  <si>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</si>
  <si>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</si>
  <si>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</si>
  <si>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</si>
  <si>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</si>
  <si>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</si>
  <si>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</si>
  <si>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</si>
  <si>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</si>
  <si>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</si>
  <si>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</si>
  <si>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</si>
  <si>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</si>
  <si>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</si>
  <si>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</si>
  <si>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</si>
  <si>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</si>
  <si>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</si>
  <si>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</si>
  <si>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</si>
  <si>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</si>
  <si>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</si>
  <si>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</si>
  <si>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</si>
  <si>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</si>
  <si>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</si>
  <si>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</si>
  <si>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</si>
  <si>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</si>
  <si>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</si>
  <si>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</si>
  <si>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</si>
  <si>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</si>
  <si>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</si>
  <si>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</si>
  <si>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</si>
  <si>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</si>
  <si>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</si>
  <si>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</si>
  <si>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</si>
  <si>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</si>
  <si>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</si>
  <si>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</si>
  <si>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</si>
  <si>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</si>
  <si>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</si>
  <si>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</si>
  <si>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</si>
  <si>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</si>
  <si>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</si>
  <si>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</si>
  <si>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</si>
  <si>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</si>
  <si>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</si>
  <si>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</si>
  <si>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</si>
  <si>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</si>
  <si>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</si>
  <si>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</si>
  <si>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</si>
  <si>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</si>
  <si>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</si>
  <si>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</si>
  <si>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</si>
  <si>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</si>
  <si>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</si>
  <si>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</si>
  <si>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</si>
  <si>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</si>
  <si>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</si>
  <si>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</si>
  <si>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</si>
  <si>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</si>
  <si>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</si>
  <si>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</si>
  <si>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</si>
  <si>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</si>
  <si>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</si>
  <si>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</si>
  <si>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</si>
  <si>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</si>
  <si>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</si>
  <si>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</si>
  <si>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</si>
  <si>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</si>
  <si>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</si>
  <si>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</si>
  <si>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</si>
  <si>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</si>
  <si>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</si>
  <si>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</si>
  <si>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</si>
  <si>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</si>
  <si>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</si>
  <si>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</si>
  <si>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</si>
  <si>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</si>
  <si>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</si>
  <si>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</si>
  <si>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</si>
  <si>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</si>
  <si>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</si>
  <si>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</si>
  <si>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</si>
  <si>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</si>
  <si>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</si>
  <si>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</si>
  <si>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</si>
  <si>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</si>
  <si>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</si>
  <si>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</si>
  <si>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</si>
  <si>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</si>
  <si>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</si>
  <si>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</si>
  <si>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</si>
  <si>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</si>
  <si>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</si>
  <si>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</si>
  <si>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</si>
  <si>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</si>
  <si>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</si>
  <si>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</si>
  <si>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</si>
  <si>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</si>
  <si>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</si>
  <si>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</si>
  <si>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</si>
  <si>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</si>
  <si>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</si>
  <si>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</si>
  <si>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</si>
  <si>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</si>
  <si>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</si>
  <si>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</si>
  <si>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</si>
  <si>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</si>
  <si>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</si>
  <si>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</si>
  <si>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</si>
  <si>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</si>
  <si>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</si>
  <si>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</si>
  <si>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</si>
  <si>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</si>
  <si>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</si>
  <si>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</si>
  <si>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</si>
  <si>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</si>
  <si>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</si>
  <si>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</si>
  <si>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</si>
  <si>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</si>
  <si>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</si>
  <si>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</si>
  <si>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</si>
  <si>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</si>
  <si>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</si>
  <si>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</si>
  <si>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</si>
  <si>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</si>
  <si>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</si>
  <si>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</si>
  <si>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</si>
  <si>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</si>
  <si>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</si>
  <si>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</si>
  <si>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</si>
  <si>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</si>
  <si>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</si>
  <si>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</si>
  <si>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</si>
  <si>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</si>
  <si>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</si>
  <si>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</si>
  <si>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</si>
  <si>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</si>
  <si>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</si>
  <si>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</si>
  <si>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</si>
  <si>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</si>
  <si>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</si>
  <si>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</si>
  <si>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</si>
  <si>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</si>
  <si>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</si>
  <si>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</si>
  <si>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</si>
  <si>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</si>
  <si>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</si>
  <si>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</si>
  <si>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</si>
  <si>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</si>
  <si>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</si>
  <si>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</si>
  <si>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</si>
  <si>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</si>
  <si>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</si>
  <si>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</si>
  <si>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</si>
  <si>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</si>
  <si>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</si>
  <si>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</si>
  <si>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</si>
  <si>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</si>
  <si>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</si>
  <si>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</si>
  <si>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</si>
  <si>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</si>
  <si>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</si>
  <si>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</si>
  <si>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</si>
  <si>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</si>
  <si>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</si>
  <si>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</si>
  <si>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</si>
  <si>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</si>
  <si>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</si>
  <si>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</si>
  <si>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</si>
  <si>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</si>
  <si>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</si>
  <si>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</si>
  <si>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</si>
  <si>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</si>
  <si>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</si>
  <si>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</si>
  <si>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</si>
  <si>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</si>
  <si>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</si>
  <si>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</si>
  <si>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</si>
  <si>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</si>
  <si>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</si>
  <si>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</si>
  <si>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</si>
  <si>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</si>
  <si>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</si>
  <si>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</si>
  <si>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</si>
  <si>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</si>
  <si>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</si>
  <si>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</si>
  <si>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</si>
  <si>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</si>
  <si>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</si>
  <si>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</si>
  <si>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</si>
  <si>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</si>
  <si>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</si>
  <si>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</si>
  <si>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</si>
  <si>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</si>
  <si>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</si>
  <si>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</si>
  <si>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</si>
  <si>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</si>
  <si>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</si>
  <si>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</si>
  <si>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</si>
  <si>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</si>
  <si>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</si>
  <si>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</si>
  <si>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</si>
  <si>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</si>
  <si>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</si>
  <si>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</si>
  <si>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</si>
  <si>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</si>
  <si>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</si>
  <si>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</si>
  <si>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</si>
  <si>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</si>
  <si>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</si>
  <si>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</si>
  <si>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</si>
  <si>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</si>
  <si>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</si>
  <si>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</si>
  <si>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</si>
  <si>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</si>
  <si>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</si>
  <si>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</si>
  <si>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</si>
  <si>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</si>
  <si>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</si>
  <si>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</si>
  <si>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</si>
  <si>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</si>
  <si>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</si>
  <si>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</si>
  <si>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</si>
  <si>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</si>
  <si>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</si>
  <si>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</si>
  <si>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</si>
  <si>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</si>
  <si>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</si>
  <si>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</si>
  <si>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</si>
  <si>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</si>
  <si>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</si>
  <si>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</si>
  <si>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</si>
  <si>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</si>
  <si>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</si>
  <si>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</si>
  <si>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</si>
  <si>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</si>
  <si>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</si>
  <si>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</si>
  <si>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</si>
  <si>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</si>
  <si>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</si>
  <si>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</si>
  <si>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</si>
  <si>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</si>
  <si>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</si>
  <si>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</si>
  <si>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</si>
  <si>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</si>
  <si>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</si>
  <si>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</si>
  <si>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</si>
  <si>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</si>
  <si>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</si>
  <si>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</si>
  <si>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</si>
  <si>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</si>
  <si>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</si>
  <si>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</si>
  <si>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</si>
  <si>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</si>
  <si>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</si>
  <si>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</si>
  <si>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</si>
  <si>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</si>
  <si>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</si>
  <si>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</si>
  <si>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</si>
  <si>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</si>
  <si>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</si>
  <si>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</si>
  <si>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</si>
  <si>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</si>
  <si>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</si>
  <si>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</si>
  <si>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</si>
  <si>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</si>
  <si>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</si>
  <si>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</si>
  <si>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</si>
  <si>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</si>
  <si>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</si>
  <si>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</si>
  <si>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</si>
  <si>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</si>
  <si>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</si>
  <si>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</si>
  <si>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</si>
  <si>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</si>
  <si>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</si>
  <si>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</si>
  <si>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</si>
  <si>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</si>
  <si>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</si>
  <si>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</si>
  <si>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</si>
  <si>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</si>
  <si>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</si>
  <si>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</si>
  <si>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</si>
  <si>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</si>
  <si>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</si>
  <si>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</si>
  <si>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</si>
  <si>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</si>
  <si>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</si>
  <si>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</si>
  <si>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</si>
  <si>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</si>
  <si>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</si>
  <si>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</si>
  <si>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</si>
  <si>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</si>
  <si>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</si>
  <si>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</si>
  <si>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</si>
  <si>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</si>
  <si>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</si>
  <si>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</si>
  <si>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</si>
  <si>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</si>
  <si>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</si>
  <si>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</si>
  <si>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</si>
  <si>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</si>
  <si>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</si>
  <si>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</si>
  <si>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</si>
  <si>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</si>
  <si>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</si>
  <si>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</si>
  <si>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</si>
  <si>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</si>
  <si>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</si>
  <si>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</si>
  <si>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</si>
  <si>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</si>
  <si>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</si>
  <si>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</si>
  <si>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</si>
  <si>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</si>
  <si>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</si>
  <si>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</si>
  <si>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</si>
  <si>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</si>
  <si>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</si>
  <si>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</si>
  <si>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</si>
  <si>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</si>
  <si>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</si>
  <si>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</si>
  <si>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</si>
  <si>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</si>
  <si>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</si>
  <si>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</si>
  <si>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</si>
  <si>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</si>
  <si>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</si>
  <si>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</si>
  <si>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</si>
  <si>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</si>
  <si>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</si>
  <si>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</si>
  <si>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</si>
  <si>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</si>
  <si>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</si>
  <si>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</si>
  <si>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</si>
  <si>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</si>
  <si>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</si>
  <si>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</si>
  <si>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</si>
  <si>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</si>
  <si>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</si>
  <si>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</si>
  <si>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</si>
  <si>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</si>
  <si>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</si>
  <si>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</si>
  <si>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</si>
  <si>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</si>
  <si>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</si>
  <si>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</si>
  <si>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</si>
  <si>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</si>
  <si>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</si>
  <si>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</si>
  <si>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</si>
  <si>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</si>
  <si>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</si>
  <si>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</si>
  <si>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</si>
  <si>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</si>
  <si>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</si>
  <si>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</si>
  <si>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</si>
  <si>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</si>
  <si>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</si>
  <si>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</si>
  <si>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</si>
  <si>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</si>
  <si>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</si>
  <si>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</si>
  <si>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</si>
  <si>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</si>
  <si>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</si>
  <si>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</si>
  <si>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</si>
  <si>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</si>
  <si>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</si>
  <si>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</si>
  <si>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</si>
  <si>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</si>
  <si>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</si>
  <si>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</si>
  <si>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</si>
  <si>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</si>
  <si>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</si>
  <si>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</si>
  <si>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</si>
  <si>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</si>
  <si>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</si>
  <si>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</si>
  <si>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</si>
  <si>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</si>
  <si>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</si>
  <si>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</si>
  <si>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</si>
  <si>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</si>
  <si>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</si>
  <si>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</si>
  <si>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</si>
  <si>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</si>
  <si>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</si>
  <si>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</si>
  <si>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</si>
  <si>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</si>
  <si>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</si>
  <si>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</si>
  <si>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</si>
  <si>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</si>
  <si>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</si>
  <si>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</si>
  <si>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</si>
  <si>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</si>
  <si>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</si>
  <si>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</si>
  <si>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</si>
  <si>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</si>
  <si>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</si>
  <si>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</si>
  <si>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</si>
  <si>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</si>
  <si>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</si>
  <si>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</si>
  <si>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</si>
  <si>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</si>
  <si>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</si>
  <si>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</si>
  <si>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</si>
  <si>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</si>
  <si>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</si>
  <si>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</si>
  <si>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</si>
  <si>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</si>
  <si>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</si>
  <si>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</si>
  <si>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</si>
  <si>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</si>
  <si>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</si>
  <si>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</si>
  <si>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</si>
  <si>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</si>
  <si>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</si>
  <si>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</si>
  <si>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</si>
  <si>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</si>
  <si>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</si>
  <si>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</si>
  <si>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</si>
  <si>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</si>
  <si>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</si>
  <si>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</si>
  <si>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</si>
  <si>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</si>
  <si>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</si>
  <si>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</si>
  <si>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</si>
  <si>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</si>
  <si>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</si>
  <si>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</si>
  <si>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</si>
  <si>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</si>
  <si>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</si>
  <si>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</si>
  <si>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</si>
  <si>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</si>
  <si>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</si>
  <si>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</si>
  <si>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</si>
  <si>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</si>
  <si>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</si>
  <si>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</si>
  <si>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</si>
  <si>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</si>
  <si>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</si>
  <si>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</si>
  <si>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</si>
  <si>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</si>
  <si>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</si>
  <si>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</si>
  <si>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</si>
  <si>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</si>
  <si>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</si>
  <si>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</si>
  <si>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</si>
  <si>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</si>
  <si>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</si>
  <si>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</si>
  <si>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</si>
  <si>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</si>
  <si>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</si>
  <si>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</si>
  <si>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</si>
  <si>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</si>
  <si>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</si>
  <si>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</si>
  <si>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</si>
  <si>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</si>
  <si>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</si>
  <si>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</si>
  <si>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</si>
  <si>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</si>
  <si>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</si>
  <si>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</si>
  <si>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</si>
  <si>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</si>
  <si>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</si>
  <si>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</si>
  <si>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</si>
  <si>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</si>
  <si>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</si>
  <si>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</si>
  <si>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</si>
  <si>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</si>
  <si>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</si>
  <si>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</si>
  <si>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</si>
  <si>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</si>
  <si>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</si>
  <si>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</si>
  <si>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</si>
  <si>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</si>
  <si>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</si>
  <si>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</si>
  <si>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</si>
  <si>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</si>
  <si>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</si>
  <si>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</si>
  <si>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</si>
  <si>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</si>
  <si>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</si>
  <si>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</si>
  <si>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</si>
  <si>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</si>
  <si>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</si>
  <si>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</si>
  <si>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</si>
  <si>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</si>
  <si>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</si>
  <si>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</si>
  <si>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</si>
  <si>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</si>
  <si>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</si>
  <si>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</si>
  <si>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</si>
  <si>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</si>
  <si>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</si>
  <si>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</si>
  <si>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</si>
  <si>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</si>
  <si>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</si>
  <si>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</si>
  <si>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</si>
  <si>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</si>
  <si>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</si>
  <si>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</si>
  <si>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</si>
  <si>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</si>
  <si>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</si>
  <si>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</si>
  <si>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</si>
  <si>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</si>
  <si>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</si>
  <si>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</si>
  <si>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</si>
  <si>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</si>
  <si>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</si>
  <si>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</si>
  <si>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</si>
  <si>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</si>
  <si>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</si>
  <si>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</si>
  <si>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</si>
  <si>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</si>
  <si>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</si>
  <si>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</si>
  <si>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</si>
  <si>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</si>
  <si>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</si>
  <si>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</si>
  <si>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</si>
  <si>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</si>
  <si>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</si>
  <si>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</si>
  <si>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</si>
  <si>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</si>
  <si>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</si>
  <si>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</si>
  <si>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</si>
  <si>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</si>
  <si>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</si>
  <si>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</si>
  <si>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</si>
  <si>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</si>
  <si>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</si>
  <si>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</si>
  <si>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</si>
  <si>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</si>
  <si>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</si>
  <si>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</si>
  <si>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</si>
  <si>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</si>
  <si>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</si>
  <si>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</si>
  <si>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</si>
  <si>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</si>
  <si>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</si>
  <si>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</si>
  <si>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</si>
  <si>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</si>
  <si>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</si>
  <si>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</si>
  <si>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</si>
  <si>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</si>
  <si>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</si>
  <si>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</si>
  <si>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</si>
  <si>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</si>
  <si>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</si>
  <si>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</si>
  <si>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</si>
  <si>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</si>
  <si>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</si>
  <si>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</si>
  <si>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</si>
  <si>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</si>
  <si>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</si>
  <si>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</si>
  <si>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</si>
  <si>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</si>
  <si>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</si>
  <si>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</si>
  <si>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</si>
  <si>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</si>
  <si>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</si>
  <si>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</si>
  <si>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</si>
  <si>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</si>
  <si>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</si>
  <si>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</si>
  <si>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</si>
  <si>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</si>
  <si>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</si>
  <si>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</si>
  <si>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</si>
  <si>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</si>
  <si>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</si>
  <si>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</si>
  <si>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</si>
  <si>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</si>
  <si>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</si>
  <si>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</si>
  <si>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</si>
  <si>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</si>
  <si>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</si>
  <si>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</si>
  <si>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</si>
  <si>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</si>
  <si>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</si>
  <si>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</si>
  <si>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</si>
  <si>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</si>
  <si>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</si>
  <si>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</si>
  <si>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</si>
  <si>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</si>
  <si>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</si>
  <si>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</si>
  <si>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</si>
  <si>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</si>
  <si>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</si>
  <si>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</si>
  <si>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</si>
  <si>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</si>
  <si>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</si>
  <si>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</si>
  <si>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</si>
  <si>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</si>
  <si>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</si>
  <si>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</si>
  <si>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</si>
  <si>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</si>
  <si>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</si>
  <si>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</si>
  <si>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</si>
  <si>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</si>
  <si>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</si>
  <si>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</si>
  <si>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</si>
  <si>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</si>
  <si>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</si>
  <si>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</si>
  <si>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</si>
  <si>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</si>
  <si>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</si>
  <si>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</si>
  <si>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</si>
  <si>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</si>
  <si>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</si>
  <si>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</si>
  <si>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</si>
  <si>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</si>
  <si>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</si>
  <si>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</si>
  <si>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</si>
  <si>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</si>
  <si>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</si>
  <si>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</si>
  <si>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</si>
  <si>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</si>
  <si>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</si>
  <si>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</si>
  <si>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</si>
  <si>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</si>
  <si>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</si>
  <si>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</si>
  <si>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</si>
  <si>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</si>
  <si>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</si>
  <si>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</si>
  <si>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</si>
  <si>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</si>
  <si>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</si>
  <si>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</si>
  <si>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</si>
  <si>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</si>
  <si>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</si>
  <si>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</si>
  <si>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</si>
  <si>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</si>
  <si>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</si>
  <si>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</si>
  <si>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</si>
  <si>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</si>
  <si>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</si>
  <si>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</si>
  <si>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</si>
  <si>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</si>
  <si>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</si>
  <si>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</si>
  <si>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</si>
  <si>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</si>
  <si>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</si>
  <si>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</si>
  <si>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</si>
  <si>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</si>
  <si>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</si>
  <si>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</si>
  <si>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</si>
  <si>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</si>
  <si>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</si>
  <si>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</si>
  <si>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</si>
  <si>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</si>
  <si>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</si>
  <si>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</si>
  <si>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</si>
  <si>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</si>
  <si>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</si>
  <si>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</si>
  <si>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</si>
  <si>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</si>
  <si>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</si>
  <si>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</si>
  <si>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</si>
  <si>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</si>
  <si>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</si>
  <si>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</si>
  <si>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</si>
  <si>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</si>
  <si>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</si>
  <si>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</si>
  <si>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</si>
  <si>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</si>
  <si>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</si>
  <si>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</si>
  <si>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</si>
  <si>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</si>
  <si>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</si>
  <si>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</si>
  <si>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</si>
  <si>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</si>
  <si>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</si>
  <si>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</si>
  <si>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</si>
  <si>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</si>
  <si>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</si>
  <si>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</si>
  <si>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</si>
  <si>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</si>
  <si>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</si>
  <si>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</si>
  <si>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</si>
  <si>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</si>
  <si>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</si>
  <si>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</si>
  <si>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</si>
  <si>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</si>
  <si>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</si>
  <si>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</si>
  <si>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</si>
  <si>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</si>
  <si>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</si>
  <si>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</si>
  <si>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</si>
  <si>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</si>
  <si>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</si>
  <si>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</si>
  <si>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</si>
  <si>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</si>
  <si>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</si>
  <si>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</si>
  <si>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</si>
  <si>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</si>
  <si>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</si>
  <si>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</si>
  <si>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</si>
  <si>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</si>
  <si>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</si>
  <si>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</si>
  <si>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</si>
  <si>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</si>
  <si>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</si>
  <si>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</si>
  <si>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</si>
  <si>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</si>
  <si>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</si>
  <si>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</si>
  <si>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</si>
  <si>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</si>
  <si>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</si>
  <si>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</si>
  <si>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</si>
  <si>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</si>
  <si>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</si>
  <si>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</si>
  <si>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</si>
  <si>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</si>
  <si>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</si>
  <si>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</si>
  <si>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</si>
  <si>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</si>
  <si>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</si>
  <si>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</si>
  <si>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</si>
  <si>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</si>
  <si>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</si>
  <si>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</si>
  <si>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</si>
  <si>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</si>
  <si>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</si>
  <si>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</si>
  <si>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</si>
  <si>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</si>
  <si>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</si>
  <si>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</si>
  <si>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</si>
  <si>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</si>
  <si>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</si>
  <si>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</si>
  <si>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</si>
  <si>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</si>
  <si>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</si>
  <si>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</si>
  <si>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</si>
  <si>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</si>
  <si>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</si>
  <si>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</si>
  <si>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</si>
  <si>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</si>
  <si>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</si>
  <si>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</si>
  <si>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</si>
  <si>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</si>
  <si>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</si>
  <si>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</si>
  <si>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</si>
  <si>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</si>
  <si>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</si>
  <si>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</si>
  <si>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</si>
  <si>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</si>
  <si>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</si>
  <si>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</si>
  <si>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</si>
  <si>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</si>
  <si>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</si>
  <si>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</si>
  <si>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</si>
  <si>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</si>
  <si>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</si>
  <si>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</si>
  <si>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</si>
  <si>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</si>
  <si>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</si>
  <si>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</si>
  <si>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</si>
  <si>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</si>
  <si>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</si>
  <si>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</si>
  <si>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</si>
  <si>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</si>
  <si>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</si>
  <si>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</si>
  <si>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</si>
  <si>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</si>
  <si>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</si>
  <si>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</si>
  <si>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</si>
  <si>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</si>
  <si>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</si>
  <si>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</si>
  <si>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</si>
  <si>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</si>
  <si>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</si>
  <si>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</si>
  <si>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</si>
  <si>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</si>
  <si>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</si>
  <si>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</si>
  <si>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</si>
  <si>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</si>
  <si>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</si>
  <si>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</si>
  <si>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</si>
  <si>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</si>
  <si>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</si>
  <si>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</si>
  <si>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</si>
  <si>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</si>
  <si>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</si>
  <si>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</si>
  <si>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</si>
  <si>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</si>
  <si>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</si>
  <si>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</si>
  <si>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</si>
  <si>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</si>
  <si>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</si>
  <si>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</si>
  <si>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</si>
  <si>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</si>
  <si>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</si>
  <si>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</si>
  <si>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</si>
  <si>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</si>
  <si>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</si>
  <si>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</si>
  <si>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</si>
  <si>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</si>
  <si>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</si>
  <si>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</si>
  <si>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</si>
  <si>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</si>
  <si>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</si>
  <si>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</si>
  <si>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</si>
  <si>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</si>
  <si>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</si>
  <si>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</si>
  <si>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</si>
  <si>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</si>
  <si>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</si>
  <si>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</si>
  <si>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</si>
  <si>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</si>
  <si>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</si>
  <si>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</si>
  <si>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</si>
  <si>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</si>
  <si>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</si>
  <si>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</si>
  <si>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</si>
  <si>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</si>
  <si>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</si>
  <si>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</si>
  <si>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</si>
  <si>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</si>
  <si>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</si>
  <si>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</si>
  <si>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</si>
  <si>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</si>
  <si>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</si>
  <si>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</si>
  <si>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</si>
  <si>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</si>
  <si>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</si>
  <si>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</si>
  <si>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</si>
  <si>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</si>
  <si>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</si>
  <si>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</si>
  <si>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</si>
  <si>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</si>
  <si>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</si>
  <si>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</si>
  <si>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</si>
  <si>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</si>
  <si>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</si>
  <si>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</si>
  <si>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</si>
  <si>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</si>
  <si>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</si>
  <si>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</si>
  <si>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</si>
  <si>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</si>
  <si>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</si>
  <si>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</si>
  <si>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</si>
  <si>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</si>
  <si>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</si>
  <si>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</si>
  <si>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</si>
  <si>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</si>
  <si>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</si>
  <si>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</si>
  <si>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</si>
  <si>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</si>
  <si>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</si>
  <si>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</si>
  <si>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</si>
  <si>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</si>
  <si>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</si>
  <si>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</si>
  <si>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</si>
  <si>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</si>
  <si>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</si>
  <si>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</si>
  <si>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</si>
  <si>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</si>
  <si>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</si>
  <si>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</si>
  <si>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</si>
  <si>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</si>
  <si>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</si>
  <si>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</si>
  <si>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</si>
  <si>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</si>
  <si>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</si>
  <si>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</si>
  <si>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</si>
  <si>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</si>
  <si>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</si>
  <si>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</si>
  <si>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</si>
  <si>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</si>
  <si>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</si>
  <si>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</si>
  <si>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</si>
  <si>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</si>
  <si>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</si>
  <si>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</si>
  <si>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</si>
  <si>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</si>
  <si>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</si>
  <si>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</si>
  <si>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</si>
  <si>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</si>
  <si>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</si>
  <si>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</si>
  <si>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</si>
  <si>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</si>
  <si>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</si>
  <si>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</si>
  <si>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</si>
  <si>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</si>
  <si>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</si>
  <si>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</si>
  <si>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</si>
  <si>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</si>
  <si>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</si>
  <si>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</si>
  <si>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</si>
  <si>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</si>
  <si>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</si>
  <si>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</si>
  <si>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</si>
  <si>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</si>
  <si>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</si>
  <si>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</si>
  <si>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</si>
  <si>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</si>
  <si>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</si>
  <si>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</si>
  <si>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</si>
  <si>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</si>
  <si>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</si>
  <si>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</si>
  <si>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</si>
  <si>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</si>
  <si>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</si>
  <si>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</si>
  <si>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</si>
  <si>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</si>
  <si>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</si>
  <si>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</si>
  <si>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</si>
  <si>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</si>
  <si>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</si>
  <si>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</si>
  <si>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</si>
  <si>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</si>
  <si>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</si>
  <si>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</si>
  <si>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</si>
  <si>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</si>
  <si>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</si>
  <si>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</si>
  <si>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</si>
  <si>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</si>
  <si>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</si>
  <si>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</si>
  <si>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</si>
  <si>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</si>
  <si>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</si>
  <si>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</si>
  <si>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</si>
  <si>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</si>
  <si>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</si>
  <si>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</si>
  <si>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</si>
  <si>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</si>
  <si>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</si>
  <si>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</si>
  <si>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</si>
  <si>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</si>
  <si>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</si>
  <si>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</si>
  <si>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</si>
  <si>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</si>
  <si>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</si>
  <si>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</si>
  <si>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</si>
  <si>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</si>
  <si>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</si>
  <si>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</si>
  <si>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</si>
  <si>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</si>
  <si>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</si>
  <si>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</si>
  <si>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</si>
  <si>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</si>
  <si>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</si>
  <si>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</si>
  <si>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</si>
  <si>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</si>
  <si>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</si>
  <si>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</si>
  <si>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</si>
  <si>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</si>
  <si>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</si>
  <si>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</si>
  <si>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</si>
  <si>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</si>
  <si>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</si>
  <si>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</si>
  <si>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</si>
  <si>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</si>
  <si>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</si>
  <si>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</si>
  <si>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</si>
  <si>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</si>
  <si>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</si>
  <si>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</si>
  <si>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</si>
  <si>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</si>
  <si>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</si>
  <si>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</si>
  <si>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</si>
  <si>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</si>
  <si>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</si>
  <si>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</si>
  <si>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</si>
  <si>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</si>
  <si>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</si>
  <si>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</si>
  <si>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</si>
  <si>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</si>
  <si>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</si>
  <si>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</si>
  <si>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</si>
  <si>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</si>
  <si>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</si>
  <si>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</si>
  <si>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</si>
  <si>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</si>
  <si>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</si>
  <si>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</si>
  <si>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</si>
  <si>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</si>
  <si>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</si>
  <si>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</si>
  <si>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</si>
  <si>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</si>
  <si>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</si>
  <si>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</si>
  <si>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</si>
  <si>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</si>
  <si>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</si>
  <si>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</si>
  <si>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</si>
  <si>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</si>
  <si>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</si>
  <si>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</si>
  <si>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</si>
  <si>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</si>
  <si>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</si>
  <si>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</si>
  <si>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</si>
  <si>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</si>
  <si>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</si>
  <si>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</si>
  <si>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</si>
  <si>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</si>
  <si>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</si>
  <si>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</si>
  <si>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</si>
  <si>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</si>
  <si>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</si>
  <si>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</si>
  <si>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</si>
  <si>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</si>
  <si>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</si>
  <si>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</si>
  <si>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</si>
  <si>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</si>
  <si>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</si>
  <si>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</si>
  <si>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</si>
  <si>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</si>
  <si>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</si>
  <si>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</si>
  <si>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</si>
  <si>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</si>
  <si>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</si>
  <si>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</si>
  <si>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</si>
  <si>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</si>
  <si>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</si>
  <si>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</si>
  <si>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</si>
  <si>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</si>
  <si>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</si>
  <si>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</si>
  <si>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</si>
  <si>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</si>
  <si>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</si>
  <si>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</si>
  <si>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</si>
  <si>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</si>
  <si>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</si>
  <si>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</si>
  <si>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</si>
  <si>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</si>
  <si>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</si>
  <si>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</si>
  <si>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</si>
  <si>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</si>
  <si>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</si>
  <si>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</si>
  <si>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</si>
  <si>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</si>
  <si>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</si>
  <si>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</si>
  <si>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</si>
  <si>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</si>
  <si>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</si>
  <si>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</si>
  <si>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</si>
  <si>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</si>
  <si>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</si>
  <si>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</si>
  <si>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</si>
  <si>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</si>
  <si>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</si>
  <si>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</si>
  <si>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</si>
  <si>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</si>
  <si>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</si>
  <si>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</si>
  <si>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</si>
  <si>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</si>
  <si>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</si>
  <si>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</si>
  <si>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</si>
  <si>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</si>
  <si>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</si>
  <si>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</si>
  <si>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</si>
  <si>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Average Rating</t>
  </si>
  <si>
    <t>KPI's REQUIREMENTS</t>
  </si>
  <si>
    <t xml:space="preserve"> </t>
  </si>
  <si>
    <t>Row Labels</t>
  </si>
  <si>
    <t>(blank)</t>
  </si>
  <si>
    <t>Total Sales by Fat Content</t>
  </si>
  <si>
    <t>Total Sales by Item Type</t>
  </si>
  <si>
    <t>Column Labels</t>
  </si>
  <si>
    <t>Fat Content By Outlet Fot Total Sales</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</si>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</sst>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
      <b/>
      <sz val="11"/>
      <color theme="1"/>
      <name val="Segoe UI"/>
      <family val="2"/>
    </font>
    <font>
      <b/>
      <sz val="11"/>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164" fontId="0" fillId="0" borderId="17" xfId="0" applyNumberFormat="1"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17" xfId="0" applyNumberFormat="1" applyBorder="1"/>
    <xf numFmtId="167" fontId="0" fillId="0" borderId="11"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16" xfId="0" applyBorder="1"/>
    <xf numFmtId="0" fontId="0" fillId="0" borderId="24" xfId="0" applyBorder="1" applyAlignment="1">
      <alignment horizontal="left"/>
    </xf>
    <xf numFmtId="0" fontId="19" fillId="33" borderId="22" xfId="0" applyFont="1" applyFill="1" applyBorder="1" applyAlignment="1">
      <alignment horizontal="center"/>
    </xf>
    <xf numFmtId="168" fontId="0" fillId="0" borderId="0" xfId="0" applyNumberFormat="1"/>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7" fontId="0" fillId="0" borderId="0" xfId="0" applyNumberFormat="1"/>
    <xf numFmtId="0" fontId="19"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9"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97D3640-341E-4DC6-86E4-1A07D6C89F94}">
      <tableStyleElement type="wholeTable" dxfId="151"/>
      <tableStyleElement type="headerRow" dxfId="15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A7-46E0-AF69-08DF78E925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A7-46E0-AF69-08DF78E925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A7-46E0-AF69-08DF78E9257E}"/>
              </c:ext>
            </c:extLst>
          </c:dPt>
          <c:cat>
            <c:strRef>
              <c:f>'Sheets Design'!$A$15:$A$17</c:f>
              <c:strCache>
                <c:ptCount val="3"/>
                <c:pt idx="0">
                  <c:v>Low Fat</c:v>
                </c:pt>
                <c:pt idx="1">
                  <c:v>Regular</c:v>
                </c:pt>
                <c:pt idx="2">
                  <c:v>(blank)</c:v>
                </c:pt>
              </c:strCache>
            </c:strRef>
          </c:cat>
          <c:val>
            <c:numRef>
              <c:f>'Sheets Design'!$B$15:$B$17</c:f>
              <c:numCache>
                <c:formatCode>"$"0.00,"K"</c:formatCode>
                <c:ptCount val="3"/>
                <c:pt idx="0">
                  <c:v>776319.68840000057</c:v>
                </c:pt>
                <c:pt idx="1">
                  <c:v>425361.8043999995</c:v>
                </c:pt>
              </c:numCache>
            </c:numRef>
          </c:val>
          <c:extLst>
            <c:ext xmlns:c16="http://schemas.microsoft.com/office/drawing/2014/chart" uri="{C3380CC4-5D6E-409C-BE32-E72D297353CC}">
              <c16:uniqueId val="{00000000-5116-4A8D-A4FF-BEDA743888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Design'!$A$24:$A$27</c:f>
              <c:strCache>
                <c:ptCount val="4"/>
                <c:pt idx="0">
                  <c:v>Tier 1</c:v>
                </c:pt>
                <c:pt idx="1">
                  <c:v>Tier 2</c:v>
                </c:pt>
                <c:pt idx="2">
                  <c:v>Tier 3</c:v>
                </c:pt>
                <c:pt idx="3">
                  <c:v>(blank)</c:v>
                </c:pt>
              </c:strCache>
            </c:strRef>
          </c:cat>
          <c:val>
            <c:numRef>
              <c:f>'Sheets Design'!$B$24:$B$27</c:f>
              <c:numCache>
                <c:formatCode>"$"0.00,"K"</c:formatCode>
                <c:ptCount val="4"/>
                <c:pt idx="0">
                  <c:v>121349.89940000001</c:v>
                </c:pt>
                <c:pt idx="1">
                  <c:v>138685.86819999994</c:v>
                </c:pt>
                <c:pt idx="2">
                  <c:v>165326.0368</c:v>
                </c:pt>
              </c:numCache>
            </c:numRef>
          </c:val>
          <c:extLst>
            <c:ext xmlns:c16="http://schemas.microsoft.com/office/drawing/2014/chart" uri="{C3380CC4-5D6E-409C-BE32-E72D297353CC}">
              <c16:uniqueId val="{00000000-D91B-4F7C-9DC3-364CB6F08CBE}"/>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Design'!$A$24:$A$27</c:f>
              <c:strCache>
                <c:ptCount val="4"/>
                <c:pt idx="0">
                  <c:v>Tier 1</c:v>
                </c:pt>
                <c:pt idx="1">
                  <c:v>Tier 2</c:v>
                </c:pt>
                <c:pt idx="2">
                  <c:v>Tier 3</c:v>
                </c:pt>
                <c:pt idx="3">
                  <c:v>(blank)</c:v>
                </c:pt>
              </c:strCache>
            </c:strRef>
          </c:cat>
          <c:val>
            <c:numRef>
              <c:f>'Sheets Design'!$C$24:$C$27</c:f>
              <c:numCache>
                <c:formatCode>"$"0.00,"K"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4-D91B-4F7C-9DC3-364CB6F08CBE}"/>
            </c:ext>
          </c:extLst>
        </c:ser>
        <c:ser>
          <c:idx val="2"/>
          <c:order val="2"/>
          <c:tx>
            <c:strRef>
              <c:f>'Sheets Design'!$D$22:$D$23</c:f>
              <c:strCache>
                <c:ptCount val="1"/>
                <c:pt idx="0">
                  <c:v>(blank)</c:v>
                </c:pt>
              </c:strCache>
            </c:strRef>
          </c:tx>
          <c:spPr>
            <a:solidFill>
              <a:schemeClr val="accent3"/>
            </a:solidFill>
            <a:ln>
              <a:noFill/>
            </a:ln>
            <a:effectLst/>
          </c:spPr>
          <c:invertIfNegative val="0"/>
          <c:cat>
            <c:strRef>
              <c:f>'Sheets Design'!$A$24:$A$27</c:f>
              <c:strCache>
                <c:ptCount val="4"/>
                <c:pt idx="0">
                  <c:v>Tier 1</c:v>
                </c:pt>
                <c:pt idx="1">
                  <c:v>Tier 2</c:v>
                </c:pt>
                <c:pt idx="2">
                  <c:v>Tier 3</c:v>
                </c:pt>
                <c:pt idx="3">
                  <c:v>(blank)</c:v>
                </c:pt>
              </c:strCache>
            </c:strRef>
          </c:cat>
          <c:val>
            <c:numRef>
              <c:f>'Sheets Design'!$D$24:$D$27</c:f>
              <c:numCache>
                <c:formatCode>"$"0.00,"K"</c:formatCode>
                <c:ptCount val="4"/>
              </c:numCache>
            </c:numRef>
          </c:val>
          <c:extLst>
            <c:ext xmlns:c16="http://schemas.microsoft.com/office/drawing/2014/chart" uri="{C3380CC4-5D6E-409C-BE32-E72D297353CC}">
              <c16:uniqueId val="{00000003-5F2B-4D97-B865-955FB54B8FB6}"/>
            </c:ext>
          </c:extLst>
        </c:ser>
        <c:dLbls>
          <c:showLegendKey val="0"/>
          <c:showVal val="0"/>
          <c:showCatName val="0"/>
          <c:showSerName val="0"/>
          <c:showPercent val="0"/>
          <c:showBubbleSize val="0"/>
        </c:dLbls>
        <c:gapWidth val="182"/>
        <c:axId val="969646479"/>
        <c:axId val="969643599"/>
      </c:barChart>
      <c:catAx>
        <c:axId val="96964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643599"/>
        <c:crosses val="autoZero"/>
        <c:auto val="1"/>
        <c:lblAlgn val="ctr"/>
        <c:lblOffset val="100"/>
        <c:noMultiLvlLbl val="0"/>
      </c:catAx>
      <c:valAx>
        <c:axId val="969643599"/>
        <c:scaling>
          <c:orientation val="minMax"/>
        </c:scaling>
        <c:delete val="1"/>
        <c:axPos val="b"/>
        <c:numFmt formatCode="&quot;$&quot;0.00,&quot;K&quot;" sourceLinked="1"/>
        <c:majorTickMark val="none"/>
        <c:minorTickMark val="none"/>
        <c:tickLblPos val="nextTo"/>
        <c:crossAx val="969646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Design'!$B$33:$B$49</c:f>
              <c:numCache>
                <c:formatCode>"$"0.00,"K"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C8CA-4CF8-8476-86DC7410D928}"/>
            </c:ext>
          </c:extLst>
        </c:ser>
        <c:dLbls>
          <c:showLegendKey val="0"/>
          <c:showVal val="0"/>
          <c:showCatName val="0"/>
          <c:showSerName val="0"/>
          <c:showPercent val="0"/>
          <c:showBubbleSize val="0"/>
        </c:dLbls>
        <c:gapWidth val="182"/>
        <c:axId val="1005826223"/>
        <c:axId val="1005825743"/>
      </c:barChart>
      <c:catAx>
        <c:axId val="10058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25743"/>
        <c:crosses val="autoZero"/>
        <c:auto val="1"/>
        <c:lblAlgn val="ctr"/>
        <c:lblOffset val="100"/>
        <c:noMultiLvlLbl val="0"/>
      </c:catAx>
      <c:valAx>
        <c:axId val="1005825743"/>
        <c:scaling>
          <c:orientation val="minMax"/>
        </c:scaling>
        <c:delete val="1"/>
        <c:axPos val="b"/>
        <c:numFmt formatCode="&quot;$&quot;0.00,&quot;K&quot;" sourceLinked="1"/>
        <c:majorTickMark val="none"/>
        <c:minorTickMark val="none"/>
        <c:tickLblPos val="nextTo"/>
        <c:crossAx val="100582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Design'!$A$55:$A$64</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'Sheets Design'!$B$55:$B$64</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44C-48DE-8CC0-4A89EAF0F2E7}"/>
            </c:ext>
          </c:extLst>
        </c:ser>
        <c:dLbls>
          <c:showLegendKey val="0"/>
          <c:showVal val="0"/>
          <c:showCatName val="0"/>
          <c:showSerName val="0"/>
          <c:showPercent val="0"/>
          <c:showBubbleSize val="0"/>
        </c:dLbls>
        <c:axId val="718781727"/>
        <c:axId val="718782207"/>
      </c:areaChart>
      <c:catAx>
        <c:axId val="71878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782207"/>
        <c:crosses val="autoZero"/>
        <c:auto val="1"/>
        <c:lblAlgn val="ctr"/>
        <c:lblOffset val="100"/>
        <c:noMultiLvlLbl val="0"/>
      </c:catAx>
      <c:valAx>
        <c:axId val="718782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781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7B-448B-B958-BB8D17648F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7B-448B-B958-BB8D17648F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7B-448B-B958-BB8D17648F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7B-448B-B958-BB8D17648FD3}"/>
              </c:ext>
            </c:extLst>
          </c:dPt>
          <c:cat>
            <c:strRef>
              <c:f>'Sheets Design'!$A$70:$A$73</c:f>
              <c:strCache>
                <c:ptCount val="4"/>
                <c:pt idx="0">
                  <c:v>High</c:v>
                </c:pt>
                <c:pt idx="1">
                  <c:v>Medium</c:v>
                </c:pt>
                <c:pt idx="2">
                  <c:v>Small</c:v>
                </c:pt>
                <c:pt idx="3">
                  <c:v>(blank)</c:v>
                </c:pt>
              </c:strCache>
            </c:strRef>
          </c:cat>
          <c:val>
            <c:numRef>
              <c:f>'Sheets Design'!$B$70:$B$73</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A767-4C30-AA73-C03C039287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Design'!$B$92</c:f>
              <c:strCache>
                <c:ptCount val="1"/>
                <c:pt idx="0">
                  <c:v>Total</c:v>
                </c:pt>
              </c:strCache>
            </c:strRef>
          </c:tx>
          <c:spPr>
            <a:solidFill>
              <a:schemeClr val="accent1"/>
            </a:solidFill>
            <a:ln>
              <a:noFill/>
            </a:ln>
            <a:effectLst/>
          </c:spPr>
          <c:invertIfNegative val="0"/>
          <c:cat>
            <c:strRef>
              <c:f>'Sheets Design'!$A$93:$A$97</c:f>
              <c:strCache>
                <c:ptCount val="5"/>
                <c:pt idx="0">
                  <c:v>Grocery Store</c:v>
                </c:pt>
                <c:pt idx="1">
                  <c:v>Supermarket Type3</c:v>
                </c:pt>
                <c:pt idx="2">
                  <c:v>Supermarket Type2</c:v>
                </c:pt>
                <c:pt idx="3">
                  <c:v>Supermarket Type1</c:v>
                </c:pt>
                <c:pt idx="4">
                  <c:v>(blank)</c:v>
                </c:pt>
              </c:strCache>
            </c:strRef>
          </c:cat>
          <c:val>
            <c:numRef>
              <c:f>'Sheets Design'!$B$93:$B$97</c:f>
              <c:numCache>
                <c:formatCode>"$"0.00,"K"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6F3-4BD8-8940-D66341B9DEB2}"/>
            </c:ext>
          </c:extLst>
        </c:ser>
        <c:dLbls>
          <c:showLegendKey val="0"/>
          <c:showVal val="0"/>
          <c:showCatName val="0"/>
          <c:showSerName val="0"/>
          <c:showPercent val="0"/>
          <c:showBubbleSize val="0"/>
        </c:dLbls>
        <c:gapWidth val="182"/>
        <c:axId val="1404682160"/>
        <c:axId val="1404681680"/>
      </c:barChart>
      <c:catAx>
        <c:axId val="140468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81680"/>
        <c:crosses val="autoZero"/>
        <c:auto val="1"/>
        <c:lblAlgn val="ctr"/>
        <c:lblOffset val="100"/>
        <c:noMultiLvlLbl val="0"/>
      </c:catAx>
      <c:valAx>
        <c:axId val="1404681680"/>
        <c:scaling>
          <c:orientation val="minMax"/>
        </c:scaling>
        <c:delete val="1"/>
        <c:axPos val="b"/>
        <c:numFmt formatCode="&quot;$&quot;0.00,&quot;K&quot;" sourceLinked="1"/>
        <c:majorTickMark val="none"/>
        <c:minorTickMark val="none"/>
        <c:tickLblPos val="nextTo"/>
        <c:crossAx val="14046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1"/>
            </a:solidFill>
            <a:ln>
              <a:noFill/>
            </a:ln>
            <a:effectLst/>
          </c:spPr>
          <c:invertIfNegative val="0"/>
          <c:cat>
            <c:strRef>
              <c:f>'Sheets Design'!$A$106:$A$110</c:f>
              <c:strCache>
                <c:ptCount val="5"/>
                <c:pt idx="0">
                  <c:v>Grocery Store</c:v>
                </c:pt>
                <c:pt idx="1">
                  <c:v>Supermarket Type3</c:v>
                </c:pt>
                <c:pt idx="2">
                  <c:v>Supermarket Type2</c:v>
                </c:pt>
                <c:pt idx="3">
                  <c:v>Supermarket Type1</c:v>
                </c:pt>
                <c:pt idx="4">
                  <c:v>(blank)</c:v>
                </c:pt>
              </c:strCache>
            </c:strRef>
          </c:cat>
          <c:val>
            <c:numRef>
              <c:f>'Sheets Design'!$B$106:$B$110</c:f>
              <c:numCache>
                <c:formatCode>\$0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396-4CF4-B3CD-2FF232D8ADBD}"/>
            </c:ext>
          </c:extLst>
        </c:ser>
        <c:dLbls>
          <c:showLegendKey val="0"/>
          <c:showVal val="0"/>
          <c:showCatName val="0"/>
          <c:showSerName val="0"/>
          <c:showPercent val="0"/>
          <c:showBubbleSize val="0"/>
        </c:dLbls>
        <c:gapWidth val="182"/>
        <c:axId val="1688778528"/>
        <c:axId val="1688777088"/>
      </c:barChart>
      <c:catAx>
        <c:axId val="168877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7088"/>
        <c:crosses val="autoZero"/>
        <c:auto val="1"/>
        <c:lblAlgn val="ctr"/>
        <c:lblOffset val="100"/>
        <c:noMultiLvlLbl val="0"/>
      </c:catAx>
      <c:valAx>
        <c:axId val="1688777088"/>
        <c:scaling>
          <c:orientation val="minMax"/>
        </c:scaling>
        <c:delete val="1"/>
        <c:axPos val="b"/>
        <c:numFmt formatCode="\$0" sourceLinked="1"/>
        <c:majorTickMark val="none"/>
        <c:minorTickMark val="none"/>
        <c:tickLblPos val="nextTo"/>
        <c:crossAx val="168877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Design'!$B$99</c:f>
              <c:strCache>
                <c:ptCount val="1"/>
                <c:pt idx="0">
                  <c:v>Total</c:v>
                </c:pt>
              </c:strCache>
            </c:strRef>
          </c:tx>
          <c:spPr>
            <a:solidFill>
              <a:schemeClr val="accent1"/>
            </a:solidFill>
            <a:ln>
              <a:noFill/>
            </a:ln>
            <a:effectLst/>
          </c:spPr>
          <c:invertIfNegative val="0"/>
          <c:cat>
            <c:strRef>
              <c:f>'Sheets Design'!$A$100:$A$104</c:f>
              <c:strCache>
                <c:ptCount val="5"/>
                <c:pt idx="0">
                  <c:v>Grocery Store</c:v>
                </c:pt>
                <c:pt idx="1">
                  <c:v>Supermarket Type3</c:v>
                </c:pt>
                <c:pt idx="2">
                  <c:v>Supermarket Type2</c:v>
                </c:pt>
                <c:pt idx="3">
                  <c:v>Supermarket Type1</c:v>
                </c:pt>
                <c:pt idx="4">
                  <c:v>(blank)</c:v>
                </c:pt>
              </c:strCache>
            </c:strRef>
          </c:cat>
          <c:val>
            <c:numRef>
              <c:f>'Sheets Design'!$B$100:$B$104</c:f>
              <c:numCache>
                <c:formatCode>0</c:formatCode>
                <c:ptCount val="5"/>
                <c:pt idx="0">
                  <c:v>1083</c:v>
                </c:pt>
                <c:pt idx="1">
                  <c:v>935</c:v>
                </c:pt>
                <c:pt idx="2">
                  <c:v>928</c:v>
                </c:pt>
                <c:pt idx="3">
                  <c:v>5577</c:v>
                </c:pt>
              </c:numCache>
            </c:numRef>
          </c:val>
          <c:extLst>
            <c:ext xmlns:c16="http://schemas.microsoft.com/office/drawing/2014/chart" uri="{C3380CC4-5D6E-409C-BE32-E72D297353CC}">
              <c16:uniqueId val="{00000000-2958-45BE-B8FB-38D1EF7B76EA}"/>
            </c:ext>
          </c:extLst>
        </c:ser>
        <c:dLbls>
          <c:showLegendKey val="0"/>
          <c:showVal val="0"/>
          <c:showCatName val="0"/>
          <c:showSerName val="0"/>
          <c:showPercent val="0"/>
          <c:showBubbleSize val="0"/>
        </c:dLbls>
        <c:gapWidth val="182"/>
        <c:axId val="1838594016"/>
        <c:axId val="1838602656"/>
      </c:barChart>
      <c:catAx>
        <c:axId val="183859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602656"/>
        <c:crosses val="autoZero"/>
        <c:auto val="1"/>
        <c:lblAlgn val="ctr"/>
        <c:lblOffset val="100"/>
        <c:noMultiLvlLbl val="0"/>
      </c:catAx>
      <c:valAx>
        <c:axId val="1838602656"/>
        <c:scaling>
          <c:orientation val="minMax"/>
        </c:scaling>
        <c:delete val="1"/>
        <c:axPos val="b"/>
        <c:numFmt formatCode="0" sourceLinked="1"/>
        <c:majorTickMark val="none"/>
        <c:minorTickMark val="none"/>
        <c:tickLblPos val="nextTo"/>
        <c:crossAx val="183859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dLbl>
          <c:idx val="0"/>
          <c:layout>
            <c:manualLayout>
              <c:x val="0.11299891493055556"/>
              <c:y val="0.1225373248019500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64930555555548"/>
                  <c:h val="0.27674030062969729"/>
                </c:manualLayout>
              </c15:layout>
            </c:ext>
          </c:extLst>
        </c:dLbl>
      </c:pivotFmt>
      <c:pivotFmt>
        <c:idx val="10"/>
        <c:spPr>
          <a:solidFill>
            <a:schemeClr val="accent6">
              <a:lumMod val="75000"/>
            </a:schemeClr>
          </a:solidFill>
          <a:ln w="19050">
            <a:solidFill>
              <a:schemeClr val="lt1"/>
            </a:solidFill>
          </a:ln>
          <a:effectLst/>
        </c:spPr>
        <c:dLbl>
          <c:idx val="0"/>
          <c:layout>
            <c:manualLayout>
              <c:x val="-8.819444444444445E-2"/>
              <c:y val="-0.135435456022750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91753472222223"/>
                  <c:h val="0.27674030062969729"/>
                </c:manualLayout>
              </c15:layout>
            </c:ext>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0.1812387152777778"/>
          <c:y val="0.17501066422912856"/>
          <c:w val="0.64854687499999997"/>
          <c:h val="0.75881170018281541"/>
        </c:manualLayout>
      </c:layout>
      <c:doughnutChart>
        <c:varyColors val="1"/>
        <c:ser>
          <c:idx val="0"/>
          <c:order val="0"/>
          <c:tx>
            <c:strRef>
              <c:f>'Sheets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76D-4B94-9521-336BA475EDA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76D-4B94-9521-336BA475ED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6D-4B94-9521-336BA475EDA2}"/>
              </c:ext>
            </c:extLst>
          </c:dPt>
          <c:dLbls>
            <c:dLbl>
              <c:idx val="0"/>
              <c:layout>
                <c:manualLayout>
                  <c:x val="0.11299891493055556"/>
                  <c:y val="0.1225373248019500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64930555555548"/>
                      <c:h val="0.27674030062969729"/>
                    </c:manualLayout>
                  </c15:layout>
                </c:ext>
                <c:ext xmlns:c16="http://schemas.microsoft.com/office/drawing/2014/chart" uri="{C3380CC4-5D6E-409C-BE32-E72D297353CC}">
                  <c16:uniqueId val="{00000001-C76D-4B94-9521-336BA475EDA2}"/>
                </c:ext>
              </c:extLst>
            </c:dLbl>
            <c:dLbl>
              <c:idx val="1"/>
              <c:layout>
                <c:manualLayout>
                  <c:x val="-8.819444444444445E-2"/>
                  <c:y val="-0.135435456022750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91753472222223"/>
                      <c:h val="0.27674030062969729"/>
                    </c:manualLayout>
                  </c15:layout>
                </c:ext>
                <c:ext xmlns:c16="http://schemas.microsoft.com/office/drawing/2014/chart" uri="{C3380CC4-5D6E-409C-BE32-E72D297353CC}">
                  <c16:uniqueId val="{00000003-C76D-4B94-9521-336BA475EDA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Design'!$A$15:$A$17</c:f>
              <c:strCache>
                <c:ptCount val="3"/>
                <c:pt idx="0">
                  <c:v>Low Fat</c:v>
                </c:pt>
                <c:pt idx="1">
                  <c:v>Regular</c:v>
                </c:pt>
                <c:pt idx="2">
                  <c:v>(blank)</c:v>
                </c:pt>
              </c:strCache>
            </c:strRef>
          </c:cat>
          <c:val>
            <c:numRef>
              <c:f>'Sheets Design'!$B$15:$B$17</c:f>
              <c:numCache>
                <c:formatCode>"$"0.00,"K"</c:formatCode>
                <c:ptCount val="3"/>
                <c:pt idx="0">
                  <c:v>776319.68840000057</c:v>
                </c:pt>
                <c:pt idx="1">
                  <c:v>425361.8043999995</c:v>
                </c:pt>
              </c:numCache>
            </c:numRef>
          </c:val>
          <c:extLst>
            <c:ext xmlns:c16="http://schemas.microsoft.com/office/drawing/2014/chart" uri="{C3380CC4-5D6E-409C-BE32-E72D297353CC}">
              <c16:uniqueId val="{00000006-C76D-4B94-9521-336BA475EDA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8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7819135811679"/>
          <c:y val="0.11577742245315265"/>
          <c:w val="0.78509710671007771"/>
          <c:h val="0.8201448880498089"/>
        </c:manualLayout>
      </c:layout>
      <c:barChart>
        <c:barDir val="bar"/>
        <c:grouping val="clustered"/>
        <c:varyColors val="0"/>
        <c:ser>
          <c:idx val="0"/>
          <c:order val="0"/>
          <c:tx>
            <c:strRef>
              <c:f>'Sheets Design'!$B$22:$B$23</c:f>
              <c:strCache>
                <c:ptCount val="1"/>
                <c:pt idx="0">
                  <c:v>Regular</c:v>
                </c:pt>
              </c:strCache>
            </c:strRef>
          </c:tx>
          <c:spPr>
            <a:solidFill>
              <a:schemeClr val="accent6">
                <a:lumMod val="75000"/>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Design'!$A$24:$A$27</c:f>
              <c:strCache>
                <c:ptCount val="4"/>
                <c:pt idx="0">
                  <c:v>Tier 1</c:v>
                </c:pt>
                <c:pt idx="1">
                  <c:v>Tier 2</c:v>
                </c:pt>
                <c:pt idx="2">
                  <c:v>Tier 3</c:v>
                </c:pt>
                <c:pt idx="3">
                  <c:v>(blank)</c:v>
                </c:pt>
              </c:strCache>
            </c:strRef>
          </c:cat>
          <c:val>
            <c:numRef>
              <c:f>'Sheets Design'!$B$24:$B$27</c:f>
              <c:numCache>
                <c:formatCode>"$"0.00,"K"</c:formatCode>
                <c:ptCount val="4"/>
                <c:pt idx="0">
                  <c:v>121349.89940000001</c:v>
                </c:pt>
                <c:pt idx="1">
                  <c:v>138685.86819999994</c:v>
                </c:pt>
                <c:pt idx="2">
                  <c:v>165326.0368</c:v>
                </c:pt>
              </c:numCache>
            </c:numRef>
          </c:val>
          <c:extLst>
            <c:ext xmlns:c16="http://schemas.microsoft.com/office/drawing/2014/chart" uri="{C3380CC4-5D6E-409C-BE32-E72D297353CC}">
              <c16:uniqueId val="{00000000-BF5D-4E94-835F-67F394C30858}"/>
            </c:ext>
          </c:extLst>
        </c:ser>
        <c:ser>
          <c:idx val="1"/>
          <c:order val="1"/>
          <c:tx>
            <c:strRef>
              <c:f>'Sheets Design'!$C$22:$C$23</c:f>
              <c:strCache>
                <c:ptCount val="1"/>
                <c:pt idx="0">
                  <c:v>Low Fat</c:v>
                </c:pt>
              </c:strCache>
            </c:strRef>
          </c:tx>
          <c:spPr>
            <a:solidFill>
              <a:srgbClr val="D09E00">
                <a:alpha val="88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Design'!$A$24:$A$27</c:f>
              <c:strCache>
                <c:ptCount val="4"/>
                <c:pt idx="0">
                  <c:v>Tier 1</c:v>
                </c:pt>
                <c:pt idx="1">
                  <c:v>Tier 2</c:v>
                </c:pt>
                <c:pt idx="2">
                  <c:v>Tier 3</c:v>
                </c:pt>
                <c:pt idx="3">
                  <c:v>(blank)</c:v>
                </c:pt>
              </c:strCache>
            </c:strRef>
          </c:cat>
          <c:val>
            <c:numRef>
              <c:f>'Sheets Design'!$C$24:$C$27</c:f>
              <c:numCache>
                <c:formatCode>"$"0.00,"K"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4-BF5D-4E94-835F-67F394C30858}"/>
            </c:ext>
          </c:extLst>
        </c:ser>
        <c:ser>
          <c:idx val="2"/>
          <c:order val="2"/>
          <c:tx>
            <c:strRef>
              <c:f>'Sheets Design'!$D$22:$D$23</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Design'!$A$24:$A$27</c:f>
              <c:strCache>
                <c:ptCount val="4"/>
                <c:pt idx="0">
                  <c:v>Tier 1</c:v>
                </c:pt>
                <c:pt idx="1">
                  <c:v>Tier 2</c:v>
                </c:pt>
                <c:pt idx="2">
                  <c:v>Tier 3</c:v>
                </c:pt>
                <c:pt idx="3">
                  <c:v>(blank)</c:v>
                </c:pt>
              </c:strCache>
            </c:strRef>
          </c:cat>
          <c:val>
            <c:numRef>
              <c:f>'Sheets Design'!$D$24:$D$27</c:f>
              <c:numCache>
                <c:formatCode>"$"0.00,"K"</c:formatCode>
                <c:ptCount val="4"/>
              </c:numCache>
            </c:numRef>
          </c:val>
          <c:extLst>
            <c:ext xmlns:c16="http://schemas.microsoft.com/office/drawing/2014/chart" uri="{C3380CC4-5D6E-409C-BE32-E72D297353CC}">
              <c16:uniqueId val="{00000003-5E1B-4813-976B-3D7533E26E44}"/>
            </c:ext>
          </c:extLst>
        </c:ser>
        <c:dLbls>
          <c:dLblPos val="outEnd"/>
          <c:showLegendKey val="0"/>
          <c:showVal val="1"/>
          <c:showCatName val="0"/>
          <c:showSerName val="0"/>
          <c:showPercent val="0"/>
          <c:showBubbleSize val="0"/>
        </c:dLbls>
        <c:gapWidth val="60"/>
        <c:axId val="969646479"/>
        <c:axId val="969643599"/>
      </c:barChart>
      <c:catAx>
        <c:axId val="96964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643599"/>
        <c:crosses val="autoZero"/>
        <c:auto val="1"/>
        <c:lblAlgn val="ctr"/>
        <c:lblOffset val="100"/>
        <c:noMultiLvlLbl val="0"/>
      </c:catAx>
      <c:valAx>
        <c:axId val="969643599"/>
        <c:scaling>
          <c:orientation val="minMax"/>
        </c:scaling>
        <c:delete val="1"/>
        <c:axPos val="b"/>
        <c:numFmt formatCode="&quot;$&quot;0.00,&quot;K&quot;" sourceLinked="1"/>
        <c:majorTickMark val="none"/>
        <c:minorTickMark val="none"/>
        <c:tickLblPos val="nextTo"/>
        <c:crossAx val="969646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Design'!$A$33:$A$49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Design'!$B$33:$B$49</c:f>
              <c:numCache>
                <c:formatCode>"$"0.00,"K"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79D9-4A31-8899-1D4BFB1BAA9B}"/>
            </c:ext>
          </c:extLst>
        </c:ser>
        <c:dLbls>
          <c:dLblPos val="outEnd"/>
          <c:showLegendKey val="0"/>
          <c:showVal val="1"/>
          <c:showCatName val="0"/>
          <c:showSerName val="0"/>
          <c:showPercent val="0"/>
          <c:showBubbleSize val="0"/>
        </c:dLbls>
        <c:gapWidth val="50"/>
        <c:axId val="1005826223"/>
        <c:axId val="1005825743"/>
      </c:barChart>
      <c:catAx>
        <c:axId val="10058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25743"/>
        <c:crosses val="autoZero"/>
        <c:auto val="1"/>
        <c:lblAlgn val="ctr"/>
        <c:lblOffset val="100"/>
        <c:noMultiLvlLbl val="0"/>
      </c:catAx>
      <c:valAx>
        <c:axId val="1005825743"/>
        <c:scaling>
          <c:orientation val="minMax"/>
        </c:scaling>
        <c:delete val="1"/>
        <c:axPos val="b"/>
        <c:numFmt formatCode="&quot;$&quot;0.00,&quot;K&quot;" sourceLinked="1"/>
        <c:majorTickMark val="none"/>
        <c:minorTickMark val="none"/>
        <c:tickLblPos val="nextTo"/>
        <c:crossAx val="100582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19787260562587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2553191489361703E-3"/>
              <c:y val="-0.24893650385190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2553191489361703E-3"/>
              <c:y val="-0.24893650385190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1276595744680851E-3"/>
              <c:y val="-0.24255351657365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6.382978723404255E-3"/>
              <c:y val="-0.24893650385190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3404255319148935E-2"/>
              <c:y val="-0.255319491130160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1276595744681632E-3"/>
              <c:y val="-0.3702132621387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0638297872340269E-2"/>
              <c:y val="-0.26808546568666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8.5106382978723406E-3"/>
              <c:y val="-0.26808546568666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2441363712514661E-2"/>
              <c:y val="-7.9787340978175331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82978723404249E-2"/>
                  <c:h val="0.1253940363800119"/>
                </c:manualLayout>
              </c15:layout>
            </c:ext>
          </c:extLst>
        </c:dLbl>
      </c:pivotFmt>
    </c:pivotFmts>
    <c:plotArea>
      <c:layout/>
      <c:areaChart>
        <c:grouping val="standard"/>
        <c:varyColors val="0"/>
        <c:ser>
          <c:idx val="0"/>
          <c:order val="0"/>
          <c:tx>
            <c:strRef>
              <c:f>'Sheets Design'!$B$54</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E1B-448B-9EF6-69778F6C8046}"/>
              </c:ext>
            </c:extLst>
          </c:dPt>
          <c:dPt>
            <c:idx val="1"/>
            <c:bubble3D val="0"/>
            <c:extLst>
              <c:ext xmlns:c16="http://schemas.microsoft.com/office/drawing/2014/chart" uri="{C3380CC4-5D6E-409C-BE32-E72D297353CC}">
                <c16:uniqueId val="{00000001-CE1B-448B-9EF6-69778F6C8046}"/>
              </c:ext>
            </c:extLst>
          </c:dPt>
          <c:dPt>
            <c:idx val="2"/>
            <c:bubble3D val="0"/>
            <c:extLst>
              <c:ext xmlns:c16="http://schemas.microsoft.com/office/drawing/2014/chart" uri="{C3380CC4-5D6E-409C-BE32-E72D297353CC}">
                <c16:uniqueId val="{00000002-CE1B-448B-9EF6-69778F6C8046}"/>
              </c:ext>
            </c:extLst>
          </c:dPt>
          <c:dPt>
            <c:idx val="3"/>
            <c:bubble3D val="0"/>
            <c:extLst>
              <c:ext xmlns:c16="http://schemas.microsoft.com/office/drawing/2014/chart" uri="{C3380CC4-5D6E-409C-BE32-E72D297353CC}">
                <c16:uniqueId val="{00000003-CE1B-448B-9EF6-69778F6C8046}"/>
              </c:ext>
            </c:extLst>
          </c:dPt>
          <c:dPt>
            <c:idx val="4"/>
            <c:bubble3D val="0"/>
            <c:extLst>
              <c:ext xmlns:c16="http://schemas.microsoft.com/office/drawing/2014/chart" uri="{C3380CC4-5D6E-409C-BE32-E72D297353CC}">
                <c16:uniqueId val="{00000004-CE1B-448B-9EF6-69778F6C8046}"/>
              </c:ext>
            </c:extLst>
          </c:dPt>
          <c:dPt>
            <c:idx val="5"/>
            <c:bubble3D val="0"/>
            <c:extLst>
              <c:ext xmlns:c16="http://schemas.microsoft.com/office/drawing/2014/chart" uri="{C3380CC4-5D6E-409C-BE32-E72D297353CC}">
                <c16:uniqueId val="{00000005-CE1B-448B-9EF6-69778F6C8046}"/>
              </c:ext>
            </c:extLst>
          </c:dPt>
          <c:dPt>
            <c:idx val="6"/>
            <c:bubble3D val="0"/>
            <c:extLst>
              <c:ext xmlns:c16="http://schemas.microsoft.com/office/drawing/2014/chart" uri="{C3380CC4-5D6E-409C-BE32-E72D297353CC}">
                <c16:uniqueId val="{00000006-CE1B-448B-9EF6-69778F6C8046}"/>
              </c:ext>
            </c:extLst>
          </c:dPt>
          <c:dPt>
            <c:idx val="7"/>
            <c:bubble3D val="0"/>
            <c:extLst>
              <c:ext xmlns:c16="http://schemas.microsoft.com/office/drawing/2014/chart" uri="{C3380CC4-5D6E-409C-BE32-E72D297353CC}">
                <c16:uniqueId val="{00000007-CE1B-448B-9EF6-69778F6C8046}"/>
              </c:ext>
            </c:extLst>
          </c:dPt>
          <c:dPt>
            <c:idx val="8"/>
            <c:bubble3D val="0"/>
            <c:extLst>
              <c:ext xmlns:c16="http://schemas.microsoft.com/office/drawing/2014/chart" uri="{C3380CC4-5D6E-409C-BE32-E72D297353CC}">
                <c16:uniqueId val="{00000008-CE1B-448B-9EF6-69778F6C8046}"/>
              </c:ext>
            </c:extLst>
          </c:dPt>
          <c:dPt>
            <c:idx val="9"/>
            <c:bubble3D val="0"/>
            <c:extLst>
              <c:ext xmlns:c16="http://schemas.microsoft.com/office/drawing/2014/chart" uri="{C3380CC4-5D6E-409C-BE32-E72D297353CC}">
                <c16:uniqueId val="{00000009-CE1B-448B-9EF6-69778F6C8046}"/>
              </c:ext>
            </c:extLst>
          </c:dPt>
          <c:dLbls>
            <c:dLbl>
              <c:idx val="0"/>
              <c:layout>
                <c:manualLayout>
                  <c:x val="0"/>
                  <c:y val="-0.19787260562587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1B-448B-9EF6-69778F6C8046}"/>
                </c:ext>
              </c:extLst>
            </c:dLbl>
            <c:dLbl>
              <c:idx val="1"/>
              <c:layout>
                <c:manualLayout>
                  <c:x val="-4.2553191489361703E-3"/>
                  <c:y val="-0.24893650385190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1B-448B-9EF6-69778F6C8046}"/>
                </c:ext>
              </c:extLst>
            </c:dLbl>
            <c:dLbl>
              <c:idx val="2"/>
              <c:layout>
                <c:manualLayout>
                  <c:x val="-4.2553191489361703E-3"/>
                  <c:y val="-0.24893650385190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1B-448B-9EF6-69778F6C8046}"/>
                </c:ext>
              </c:extLst>
            </c:dLbl>
            <c:dLbl>
              <c:idx val="3"/>
              <c:layout>
                <c:manualLayout>
                  <c:x val="-2.1276595744680851E-3"/>
                  <c:y val="-0.24255351657365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1B-448B-9EF6-69778F6C8046}"/>
                </c:ext>
              </c:extLst>
            </c:dLbl>
            <c:dLbl>
              <c:idx val="4"/>
              <c:layout>
                <c:manualLayout>
                  <c:x val="-6.382978723404255E-3"/>
                  <c:y val="-0.24893650385190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1B-448B-9EF6-69778F6C8046}"/>
                </c:ext>
              </c:extLst>
            </c:dLbl>
            <c:dLbl>
              <c:idx val="5"/>
              <c:layout>
                <c:manualLayout>
                  <c:x val="-2.3404255319148935E-2"/>
                  <c:y val="-0.255319491130160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1B-448B-9EF6-69778F6C8046}"/>
                </c:ext>
              </c:extLst>
            </c:dLbl>
            <c:dLbl>
              <c:idx val="6"/>
              <c:layout>
                <c:manualLayout>
                  <c:x val="-2.1276595744681632E-3"/>
                  <c:y val="-0.37021326213873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1B-448B-9EF6-69778F6C8046}"/>
                </c:ext>
              </c:extLst>
            </c:dLbl>
            <c:dLbl>
              <c:idx val="7"/>
              <c:layout>
                <c:manualLayout>
                  <c:x val="1.0638297872340269E-2"/>
                  <c:y val="-0.26808546568666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1B-448B-9EF6-69778F6C8046}"/>
                </c:ext>
              </c:extLst>
            </c:dLbl>
            <c:dLbl>
              <c:idx val="8"/>
              <c:layout>
                <c:manualLayout>
                  <c:x val="-8.5106382978723406E-3"/>
                  <c:y val="-0.26808546568666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1B-448B-9EF6-69778F6C8046}"/>
                </c:ext>
              </c:extLst>
            </c:dLbl>
            <c:dLbl>
              <c:idx val="9"/>
              <c:layout>
                <c:manualLayout>
                  <c:x val="2.2441363712514661E-2"/>
                  <c:y val="-7.9787340978175331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82978723404249E-2"/>
                      <c:h val="0.1253940363800119"/>
                    </c:manualLayout>
                  </c15:layout>
                </c:ext>
                <c:ext xmlns:c16="http://schemas.microsoft.com/office/drawing/2014/chart" uri="{C3380CC4-5D6E-409C-BE32-E72D297353CC}">
                  <c16:uniqueId val="{00000009-CE1B-448B-9EF6-69778F6C80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Design'!$A$55:$A$64</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'Sheets Design'!$B$55:$B$64</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D3-4496-BB94-751EB98E7644}"/>
            </c:ext>
          </c:extLst>
        </c:ser>
        <c:dLbls>
          <c:showLegendKey val="0"/>
          <c:showVal val="1"/>
          <c:showCatName val="0"/>
          <c:showSerName val="0"/>
          <c:showPercent val="0"/>
          <c:showBubbleSize val="0"/>
        </c:dLbls>
        <c:dropLines>
          <c:spPr>
            <a:ln w="9525" cap="flat" cmpd="sng" algn="ctr">
              <a:noFill/>
              <a:round/>
            </a:ln>
            <a:effectLst/>
          </c:spPr>
        </c:dropLines>
        <c:axId val="718781727"/>
        <c:axId val="718782207"/>
      </c:areaChart>
      <c:catAx>
        <c:axId val="7187817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718782207"/>
        <c:crosses val="autoZero"/>
        <c:auto val="1"/>
        <c:lblAlgn val="ctr"/>
        <c:lblOffset val="100"/>
        <c:noMultiLvlLbl val="0"/>
      </c:catAx>
      <c:valAx>
        <c:axId val="7187822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quot;K&quot;" sourceLinked="1"/>
        <c:majorTickMark val="out"/>
        <c:minorTickMark val="none"/>
        <c:tickLblPos val="nextTo"/>
        <c:crossAx val="718781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9.2229484386347052E-2"/>
              <c:y val="-4.51555555555555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706245461147422"/>
              <c:y val="4.515555555555565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dLbl>
          <c:idx val="0"/>
          <c:layout>
            <c:manualLayout>
              <c:x val="-5.9949164851125648E-2"/>
              <c:y val="-0.1185333333333333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16565867828612926"/>
          <c:y val="0.13839155555555555"/>
          <c:w val="0.6825170660856934"/>
          <c:h val="0.83540088888888875"/>
        </c:manualLayout>
      </c:layout>
      <c:doughnutChart>
        <c:varyColors val="1"/>
        <c:ser>
          <c:idx val="0"/>
          <c:order val="0"/>
          <c:tx>
            <c:strRef>
              <c:f>'Sheets Design'!$B$69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EEF-4793-95E9-D64404218FD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EEF-4793-95E9-D64404218FDC}"/>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EEF-4793-95E9-D64404218F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EF-4793-95E9-D64404218FDC}"/>
              </c:ext>
            </c:extLst>
          </c:dPt>
          <c:dLbls>
            <c:dLbl>
              <c:idx val="0"/>
              <c:layout>
                <c:manualLayout>
                  <c:x val="9.2229484386347052E-2"/>
                  <c:y val="-4.51555555555555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EF-4793-95E9-D64404218FDC}"/>
                </c:ext>
              </c:extLst>
            </c:dLbl>
            <c:dLbl>
              <c:idx val="1"/>
              <c:layout>
                <c:manualLayout>
                  <c:x val="0.1706245461147422"/>
                  <c:y val="4.51555555555556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EF-4793-95E9-D64404218FDC}"/>
                </c:ext>
              </c:extLst>
            </c:dLbl>
            <c:dLbl>
              <c:idx val="2"/>
              <c:layout>
                <c:manualLayout>
                  <c:x val="-5.9949164851125648E-2"/>
                  <c:y val="-0.1185333333333333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EF-4793-95E9-D64404218FD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Design'!$A$70:$A$73</c:f>
              <c:strCache>
                <c:ptCount val="4"/>
                <c:pt idx="0">
                  <c:v>High</c:v>
                </c:pt>
                <c:pt idx="1">
                  <c:v>Medium</c:v>
                </c:pt>
                <c:pt idx="2">
                  <c:v>Small</c:v>
                </c:pt>
                <c:pt idx="3">
                  <c:v>(blank)</c:v>
                </c:pt>
              </c:strCache>
            </c:strRef>
          </c:cat>
          <c:val>
            <c:numRef>
              <c:f>'Sheets Design'!$B$70:$B$73</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8-3EEF-4793-95E9-D64404218FD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27669122004908"/>
          <c:y val="6.4675925925925928E-2"/>
          <c:w val="0.44091677250021166"/>
          <c:h val="0.84598564150069477"/>
        </c:manualLayout>
      </c:layout>
      <c:barChart>
        <c:barDir val="bar"/>
        <c:grouping val="clustered"/>
        <c:varyColors val="0"/>
        <c:ser>
          <c:idx val="0"/>
          <c:order val="0"/>
          <c:tx>
            <c:strRef>
              <c:f>'Sheets Design'!$B$92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Design'!$A$93:$A$97</c:f>
              <c:strCache>
                <c:ptCount val="5"/>
                <c:pt idx="0">
                  <c:v>Grocery Store</c:v>
                </c:pt>
                <c:pt idx="1">
                  <c:v>Supermarket Type3</c:v>
                </c:pt>
                <c:pt idx="2">
                  <c:v>Supermarket Type2</c:v>
                </c:pt>
                <c:pt idx="3">
                  <c:v>Supermarket Type1</c:v>
                </c:pt>
                <c:pt idx="4">
                  <c:v>(blank)</c:v>
                </c:pt>
              </c:strCache>
            </c:strRef>
          </c:cat>
          <c:val>
            <c:numRef>
              <c:f>'Sheets Design'!$B$93:$B$97</c:f>
              <c:numCache>
                <c:formatCode>"$"0.00,"K"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62C-4396-BCEC-D9B545F48687}"/>
            </c:ext>
          </c:extLst>
        </c:ser>
        <c:dLbls>
          <c:showLegendKey val="0"/>
          <c:showVal val="0"/>
          <c:showCatName val="0"/>
          <c:showSerName val="0"/>
          <c:showPercent val="0"/>
          <c:showBubbleSize val="0"/>
        </c:dLbls>
        <c:gapWidth val="60"/>
        <c:axId val="1404682160"/>
        <c:axId val="1404681680"/>
      </c:barChart>
      <c:catAx>
        <c:axId val="140468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81680"/>
        <c:crosses val="autoZero"/>
        <c:auto val="1"/>
        <c:lblAlgn val="ctr"/>
        <c:lblOffset val="100"/>
        <c:noMultiLvlLbl val="0"/>
      </c:catAx>
      <c:valAx>
        <c:axId val="1404681680"/>
        <c:scaling>
          <c:orientation val="minMax"/>
        </c:scaling>
        <c:delete val="1"/>
        <c:axPos val="b"/>
        <c:numFmt formatCode="&quot;$&quot;0.00,&quot;K&quot;" sourceLinked="1"/>
        <c:majorTickMark val="none"/>
        <c:minorTickMark val="none"/>
        <c:tickLblPos val="nextTo"/>
        <c:crossAx val="14046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2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a:lstStyle/>
            <a:p>
              <a:pPr>
                <a:defRPr sz="800">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6">
                <a:lumMod val="75000"/>
              </a:schemeClr>
            </a:solidFill>
            <a:ln>
              <a:noFill/>
            </a:ln>
            <a:effectLst/>
          </c:spPr>
          <c:invertIfNegative val="0"/>
          <c:dLbls>
            <c:spPr>
              <a:noFill/>
              <a:ln>
                <a:noFill/>
              </a:ln>
              <a:effectLst/>
            </c:spPr>
            <c:txPr>
              <a:bodyPr/>
              <a:lstStyle/>
              <a:p>
                <a:pPr>
                  <a:defRPr sz="800">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'Sheets Design'!$A$106:$A$110</c:f>
              <c:strCache>
                <c:ptCount val="5"/>
                <c:pt idx="0">
                  <c:v>Grocery Store</c:v>
                </c:pt>
                <c:pt idx="1">
                  <c:v>Supermarket Type3</c:v>
                </c:pt>
                <c:pt idx="2">
                  <c:v>Supermarket Type2</c:v>
                </c:pt>
                <c:pt idx="3">
                  <c:v>Supermarket Type1</c:v>
                </c:pt>
                <c:pt idx="4">
                  <c:v>(blank)</c:v>
                </c:pt>
              </c:strCache>
            </c:strRef>
          </c:cat>
          <c:val>
            <c:numRef>
              <c:f>'Sheets Design'!$B$106:$B$110</c:f>
              <c:numCache>
                <c:formatCode>\$0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B227-4A6A-BD63-643A7440DB24}"/>
            </c:ext>
          </c:extLst>
        </c:ser>
        <c:dLbls>
          <c:dLblPos val="outEnd"/>
          <c:showLegendKey val="0"/>
          <c:showVal val="1"/>
          <c:showCatName val="0"/>
          <c:showSerName val="0"/>
          <c:showPercent val="0"/>
          <c:showBubbleSize val="0"/>
        </c:dLbls>
        <c:gapWidth val="60"/>
        <c:axId val="1688778528"/>
        <c:axId val="1688777088"/>
      </c:barChart>
      <c:catAx>
        <c:axId val="1688778528"/>
        <c:scaling>
          <c:orientation val="minMax"/>
        </c:scaling>
        <c:delete val="1"/>
        <c:axPos val="l"/>
        <c:numFmt formatCode="General" sourceLinked="1"/>
        <c:majorTickMark val="none"/>
        <c:minorTickMark val="none"/>
        <c:tickLblPos val="nextTo"/>
        <c:crossAx val="1688777088"/>
        <c:crosses val="autoZero"/>
        <c:auto val="1"/>
        <c:lblAlgn val="ctr"/>
        <c:lblOffset val="100"/>
        <c:noMultiLvlLbl val="0"/>
      </c:catAx>
      <c:valAx>
        <c:axId val="1688777088"/>
        <c:scaling>
          <c:orientation val="minMax"/>
        </c:scaling>
        <c:delete val="1"/>
        <c:axPos val="b"/>
        <c:numFmt formatCode="\$0" sourceLinked="1"/>
        <c:majorTickMark val="none"/>
        <c:minorTickMark val="none"/>
        <c:tickLblPos val="nextTo"/>
        <c:crossAx val="1688778528"/>
        <c:crosses val="autoZero"/>
        <c:crossBetween val="between"/>
      </c:valAx>
    </c:plotArea>
    <c:plotVisOnly val="1"/>
    <c:dispBlanksAs val="gap"/>
    <c:showDLblsOverMax val="0"/>
    <c:extLst/>
  </c:chart>
  <c:spPr>
    <a:noFill/>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Design'!$A$100:$A$104</c:f>
              <c:strCache>
                <c:ptCount val="5"/>
                <c:pt idx="0">
                  <c:v>Grocery Store</c:v>
                </c:pt>
                <c:pt idx="1">
                  <c:v>Supermarket Type3</c:v>
                </c:pt>
                <c:pt idx="2">
                  <c:v>Supermarket Type2</c:v>
                </c:pt>
                <c:pt idx="3">
                  <c:v>Supermarket Type1</c:v>
                </c:pt>
                <c:pt idx="4">
                  <c:v>(blank)</c:v>
                </c:pt>
              </c:strCache>
            </c:strRef>
          </c:cat>
          <c:val>
            <c:numRef>
              <c:f>'Sheets Design'!$B$100:$B$104</c:f>
              <c:numCache>
                <c:formatCode>0</c:formatCode>
                <c:ptCount val="5"/>
                <c:pt idx="0">
                  <c:v>1083</c:v>
                </c:pt>
                <c:pt idx="1">
                  <c:v>935</c:v>
                </c:pt>
                <c:pt idx="2">
                  <c:v>928</c:v>
                </c:pt>
                <c:pt idx="3">
                  <c:v>5577</c:v>
                </c:pt>
              </c:numCache>
            </c:numRef>
          </c:val>
          <c:extLst>
            <c:ext xmlns:c16="http://schemas.microsoft.com/office/drawing/2014/chart" uri="{C3380CC4-5D6E-409C-BE32-E72D297353CC}">
              <c16:uniqueId val="{00000000-3F3F-4B8D-B742-03CEBBC8A53F}"/>
            </c:ext>
          </c:extLst>
        </c:ser>
        <c:dLbls>
          <c:dLblPos val="outEnd"/>
          <c:showLegendKey val="0"/>
          <c:showVal val="1"/>
          <c:showCatName val="0"/>
          <c:showSerName val="0"/>
          <c:showPercent val="0"/>
          <c:showBubbleSize val="0"/>
        </c:dLbls>
        <c:gapWidth val="60"/>
        <c:axId val="1838594016"/>
        <c:axId val="1838602656"/>
      </c:barChart>
      <c:catAx>
        <c:axId val="1838594016"/>
        <c:scaling>
          <c:orientation val="minMax"/>
        </c:scaling>
        <c:delete val="1"/>
        <c:axPos val="l"/>
        <c:numFmt formatCode="General" sourceLinked="1"/>
        <c:majorTickMark val="none"/>
        <c:minorTickMark val="none"/>
        <c:tickLblPos val="nextTo"/>
        <c:crossAx val="1838602656"/>
        <c:crosses val="autoZero"/>
        <c:auto val="1"/>
        <c:lblAlgn val="ctr"/>
        <c:lblOffset val="100"/>
        <c:noMultiLvlLbl val="0"/>
      </c:catAx>
      <c:valAx>
        <c:axId val="1838602656"/>
        <c:scaling>
          <c:orientation val="minMax"/>
        </c:scaling>
        <c:delete val="1"/>
        <c:axPos val="b"/>
        <c:numFmt formatCode="0" sourceLinked="1"/>
        <c:majorTickMark val="none"/>
        <c:minorTickMark val="none"/>
        <c:tickLblPos val="nextTo"/>
        <c:crossAx val="183859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AAFA343-EFF8-4FD7-95C0-FB6AA6A8B2F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AAFA343-EFF8-4FD7-95C0-FB6AA6A8B2FE}">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8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361950</xdr:colOff>
      <xdr:row>11</xdr:row>
      <xdr:rowOff>6350</xdr:rowOff>
    </xdr:from>
    <xdr:to>
      <xdr:col>6</xdr:col>
      <xdr:colOff>641350</xdr:colOff>
      <xdr:row>18</xdr:row>
      <xdr:rowOff>184150</xdr:rowOff>
    </xdr:to>
    <xdr:graphicFrame macro="">
      <xdr:nvGraphicFramePr>
        <xdr:cNvPr id="3" name="Chart 2">
          <a:extLst>
            <a:ext uri="{FF2B5EF4-FFF2-40B4-BE49-F238E27FC236}">
              <a16:creationId xmlns:a16="http://schemas.microsoft.com/office/drawing/2014/main" id="{22B70A18-A64C-51CE-4437-600EC16BB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20</xdr:row>
      <xdr:rowOff>31750</xdr:rowOff>
    </xdr:from>
    <xdr:to>
      <xdr:col>7</xdr:col>
      <xdr:colOff>463550</xdr:colOff>
      <xdr:row>27</xdr:row>
      <xdr:rowOff>171450</xdr:rowOff>
    </xdr:to>
    <xdr:graphicFrame macro="">
      <xdr:nvGraphicFramePr>
        <xdr:cNvPr id="4" name="Chart 3">
          <a:extLst>
            <a:ext uri="{FF2B5EF4-FFF2-40B4-BE49-F238E27FC236}">
              <a16:creationId xmlns:a16="http://schemas.microsoft.com/office/drawing/2014/main" id="{8A311E44-E70F-82D5-FFC1-E0BD00A4C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31</xdr:row>
      <xdr:rowOff>0</xdr:rowOff>
    </xdr:from>
    <xdr:to>
      <xdr:col>7</xdr:col>
      <xdr:colOff>406400</xdr:colOff>
      <xdr:row>48</xdr:row>
      <xdr:rowOff>196850</xdr:rowOff>
    </xdr:to>
    <xdr:graphicFrame macro="">
      <xdr:nvGraphicFramePr>
        <xdr:cNvPr id="5" name="Chart 4">
          <a:extLst>
            <a:ext uri="{FF2B5EF4-FFF2-40B4-BE49-F238E27FC236}">
              <a16:creationId xmlns:a16="http://schemas.microsoft.com/office/drawing/2014/main" id="{019237AC-7678-737B-BBD7-A2621EDB6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577850</xdr:colOff>
      <xdr:row>53</xdr:row>
      <xdr:rowOff>95250</xdr:rowOff>
    </xdr:from>
    <xdr:to>
      <xdr:col>8</xdr:col>
      <xdr:colOff>323850</xdr:colOff>
      <xdr:row>63</xdr:row>
      <xdr:rowOff>120650</xdr:rowOff>
    </xdr:to>
    <xdr:graphicFrame macro="">
      <xdr:nvGraphicFramePr>
        <xdr:cNvPr id="6" name="Chart 5">
          <a:extLst>
            <a:ext uri="{FF2B5EF4-FFF2-40B4-BE49-F238E27FC236}">
              <a16:creationId xmlns:a16="http://schemas.microsoft.com/office/drawing/2014/main" id="{3F17F210-BCAF-7908-78B1-23F925255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68</xdr:row>
      <xdr:rowOff>44450</xdr:rowOff>
    </xdr:from>
    <xdr:to>
      <xdr:col>5</xdr:col>
      <xdr:colOff>127000</xdr:colOff>
      <xdr:row>74</xdr:row>
      <xdr:rowOff>171450</xdr:rowOff>
    </xdr:to>
    <xdr:graphicFrame macro="">
      <xdr:nvGraphicFramePr>
        <xdr:cNvPr id="7" name="Chart 6">
          <a:extLst>
            <a:ext uri="{FF2B5EF4-FFF2-40B4-BE49-F238E27FC236}">
              <a16:creationId xmlns:a16="http://schemas.microsoft.com/office/drawing/2014/main" id="{C8D92D3E-B327-F596-E6FC-DB0907F1F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254000</xdr:colOff>
      <xdr:row>78</xdr:row>
      <xdr:rowOff>6350</xdr:rowOff>
    </xdr:from>
    <xdr:to>
      <xdr:col>8</xdr:col>
      <xdr:colOff>654050</xdr:colOff>
      <xdr:row>86</xdr:row>
      <xdr:rowOff>184150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58EE2B0-878A-A2DE-ABEE-53BB58B0E8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84700" y="15621000"/>
              <a:ext cx="2381250" cy="1784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190500</xdr:colOff>
      <xdr:row>91</xdr:row>
      <xdr:rowOff>25400</xdr:rowOff>
    </xdr:from>
    <xdr:to>
      <xdr:col>5</xdr:col>
      <xdr:colOff>558800</xdr:colOff>
      <xdr:row>97</xdr:row>
      <xdr:rowOff>57150</xdr:rowOff>
    </xdr:to>
    <xdr:graphicFrame macro="">
      <xdr:nvGraphicFramePr>
        <xdr:cNvPr id="9" name="Chart 8">
          <a:extLst>
            <a:ext uri="{FF2B5EF4-FFF2-40B4-BE49-F238E27FC236}">
              <a16:creationId xmlns:a16="http://schemas.microsoft.com/office/drawing/2014/main" id="{8440464B-F9EF-DB21-B5FD-57CB44C66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171451</xdr:colOff>
      <xdr:row>103</xdr:row>
      <xdr:rowOff>158750</xdr:rowOff>
    </xdr:from>
    <xdr:to>
      <xdr:col>5</xdr:col>
      <xdr:colOff>558800</xdr:colOff>
      <xdr:row>109</xdr:row>
      <xdr:rowOff>190500</xdr:rowOff>
    </xdr:to>
    <xdr:graphicFrame macro="">
      <xdr:nvGraphicFramePr>
        <xdr:cNvPr id="10" name="Chart 9">
          <a:extLst>
            <a:ext uri="{FF2B5EF4-FFF2-40B4-BE49-F238E27FC236}">
              <a16:creationId xmlns:a16="http://schemas.microsoft.com/office/drawing/2014/main" id="{4C2C0012-B33A-81A1-950A-306376A4A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177801</xdr:colOff>
      <xdr:row>97</xdr:row>
      <xdr:rowOff>107950</xdr:rowOff>
    </xdr:from>
    <xdr:to>
      <xdr:col>5</xdr:col>
      <xdr:colOff>565150</xdr:colOff>
      <xdr:row>103</xdr:row>
      <xdr:rowOff>107950</xdr:rowOff>
    </xdr:to>
    <xdr:graphicFrame macro="">
      <xdr:nvGraphicFramePr>
        <xdr:cNvPr id="11" name="Chart 10">
          <a:extLst>
            <a:ext uri="{FF2B5EF4-FFF2-40B4-BE49-F238E27FC236}">
              <a16:creationId xmlns:a16="http://schemas.microsoft.com/office/drawing/2014/main" id="{268E73F1-C575-7764-0379-7F31CE738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67733</xdr:colOff>
      <xdr:row>0</xdr:row>
      <xdr:rowOff>59266</xdr:rowOff>
    </xdr:from>
    <xdr:to>
      <xdr:col>26</xdr:col>
      <xdr:colOff>298934</xdr:colOff>
      <xdr:row>39</xdr:row>
      <xdr:rowOff>54216</xdr:rowOff>
    </xdr:to>
    <xdr:sp macro="" textlink="">
      <xdr:nvSpPr>
        <xdr:cNvPr id="2" name="Rectangle 1">
          <a:extLst>
            <a:ext uri="{FF2B5EF4-FFF2-40B4-BE49-F238E27FC236}">
              <a16:creationId xmlns:a16="http://schemas.microsoft.com/office/drawing/2014/main" id="{6993E02B-B61F-DF54-7916-4B4304E34BE2}"/>
            </a:ext>
          </a:extLst>
        </xdr:cNvPr>
        <xdr:cNvSpPr/>
      </xdr:nvSpPr>
      <xdr:spPr>
        <a:xfrm>
          <a:off x="2692400" y="59266"/>
          <a:ext cx="14666867"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269915</xdr:colOff>
      <xdr:row>1</xdr:row>
      <xdr:rowOff>21170</xdr:rowOff>
    </xdr:from>
    <xdr:to>
      <xdr:col>7</xdr:col>
      <xdr:colOff>497415</xdr:colOff>
      <xdr:row>38</xdr:row>
      <xdr:rowOff>98736</xdr:rowOff>
    </xdr:to>
    <xdr:sp macro="" textlink="">
      <xdr:nvSpPr>
        <xdr:cNvPr id="3" name="Rectangle: Top Corners Rounded 2">
          <a:extLst>
            <a:ext uri="{FF2B5EF4-FFF2-40B4-BE49-F238E27FC236}">
              <a16:creationId xmlns:a16="http://schemas.microsoft.com/office/drawing/2014/main" id="{F1FD7028-8BF0-950D-5FDF-6D56585CE9A4}"/>
            </a:ext>
          </a:extLst>
        </xdr:cNvPr>
        <xdr:cNvSpPr/>
      </xdr:nvSpPr>
      <xdr:spPr>
        <a:xfrm rot="5400000">
          <a:off x="233757" y="2883078"/>
          <a:ext cx="751765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370416</xdr:colOff>
      <xdr:row>1</xdr:row>
      <xdr:rowOff>52917</xdr:rowOff>
    </xdr:from>
    <xdr:to>
      <xdr:col>7</xdr:col>
      <xdr:colOff>285749</xdr:colOff>
      <xdr:row>4</xdr:row>
      <xdr:rowOff>84666</xdr:rowOff>
    </xdr:to>
    <xdr:sp macro="" textlink="">
      <xdr:nvSpPr>
        <xdr:cNvPr id="4" name="TextBox 3">
          <a:extLst>
            <a:ext uri="{FF2B5EF4-FFF2-40B4-BE49-F238E27FC236}">
              <a16:creationId xmlns:a16="http://schemas.microsoft.com/office/drawing/2014/main" id="{69748DA1-697D-55AE-8CFC-38F5BEB8F462}"/>
            </a:ext>
          </a:extLst>
        </xdr:cNvPr>
        <xdr:cNvSpPr txBox="1"/>
      </xdr:nvSpPr>
      <xdr:spPr>
        <a:xfrm>
          <a:off x="2995083" y="254000"/>
          <a:ext cx="1883833" cy="634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480483</xdr:colOff>
      <xdr:row>4</xdr:row>
      <xdr:rowOff>46567</xdr:rowOff>
    </xdr:from>
    <xdr:to>
      <xdr:col>7</xdr:col>
      <xdr:colOff>201083</xdr:colOff>
      <xdr:row>5</xdr:row>
      <xdr:rowOff>116416</xdr:rowOff>
    </xdr:to>
    <xdr:sp macro="" textlink="">
      <xdr:nvSpPr>
        <xdr:cNvPr id="5" name="TextBox 4">
          <a:extLst>
            <a:ext uri="{FF2B5EF4-FFF2-40B4-BE49-F238E27FC236}">
              <a16:creationId xmlns:a16="http://schemas.microsoft.com/office/drawing/2014/main" id="{D7F3532B-AC96-4776-A961-660D1A45C8C4}"/>
            </a:ext>
          </a:extLst>
        </xdr:cNvPr>
        <xdr:cNvSpPr txBox="1"/>
      </xdr:nvSpPr>
      <xdr:spPr>
        <a:xfrm>
          <a:off x="3105150" y="850900"/>
          <a:ext cx="16891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57150</xdr:colOff>
      <xdr:row>1</xdr:row>
      <xdr:rowOff>28574</xdr:rowOff>
    </xdr:from>
    <xdr:to>
      <xdr:col>16</xdr:col>
      <xdr:colOff>458466</xdr:colOff>
      <xdr:row>12</xdr:row>
      <xdr:rowOff>68641</xdr:rowOff>
    </xdr:to>
    <xdr:grpSp>
      <xdr:nvGrpSpPr>
        <xdr:cNvPr id="10" name="Group 9">
          <a:extLst>
            <a:ext uri="{FF2B5EF4-FFF2-40B4-BE49-F238E27FC236}">
              <a16:creationId xmlns:a16="http://schemas.microsoft.com/office/drawing/2014/main" id="{A975CB24-4560-8286-4498-8F7781D44699}"/>
            </a:ext>
          </a:extLst>
        </xdr:cNvPr>
        <xdr:cNvGrpSpPr/>
      </xdr:nvGrpSpPr>
      <xdr:grpSpPr>
        <a:xfrm>
          <a:off x="5306483" y="229657"/>
          <a:ext cx="5650650" cy="2251984"/>
          <a:chOff x="5285316" y="250824"/>
          <a:chExt cx="5650650" cy="2251984"/>
        </a:xfrm>
      </xdr:grpSpPr>
      <xdr:sp macro="" textlink="">
        <xdr:nvSpPr>
          <xdr:cNvPr id="6" name="Rectangle: Rounded Corners 5">
            <a:extLst>
              <a:ext uri="{FF2B5EF4-FFF2-40B4-BE49-F238E27FC236}">
                <a16:creationId xmlns:a16="http://schemas.microsoft.com/office/drawing/2014/main" id="{15CA6634-BE10-7C48-D111-5A383A062D6B}"/>
              </a:ext>
            </a:extLst>
          </xdr:cNvPr>
          <xdr:cNvSpPr/>
        </xdr:nvSpPr>
        <xdr:spPr>
          <a:xfrm>
            <a:off x="5285316" y="250824"/>
            <a:ext cx="2736000" cy="1047600"/>
          </a:xfrm>
          <a:prstGeom prst="roundRect">
            <a:avLst>
              <a:gd name="adj" fmla="val 8585"/>
            </a:avLst>
          </a:prstGeom>
          <a:gradFill flip="none" rotWithShape="1">
            <a:gsLst>
              <a:gs pos="0">
                <a:srgbClr val="FFD200">
                  <a:alpha val="70000"/>
                </a:srgbClr>
              </a:gs>
              <a:gs pos="33000">
                <a:schemeClr val="accent6">
                  <a:lumMod val="75000"/>
                  <a:alpha val="50000"/>
                </a:schemeClr>
              </a:gs>
              <a:gs pos="87000">
                <a:schemeClr val="accent6">
                  <a:lumMod val="50000"/>
                  <a:alpha val="50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D76C5DA-DA4C-4C8A-93D4-D55CA0E7F706}"/>
              </a:ext>
            </a:extLst>
          </xdr:cNvPr>
          <xdr:cNvSpPr/>
        </xdr:nvSpPr>
        <xdr:spPr>
          <a:xfrm>
            <a:off x="8199966" y="250824"/>
            <a:ext cx="273600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870CB8A-B543-40E0-B98A-18996F169A1C}"/>
              </a:ext>
            </a:extLst>
          </xdr:cNvPr>
          <xdr:cNvSpPr/>
        </xdr:nvSpPr>
        <xdr:spPr>
          <a:xfrm>
            <a:off x="5285316" y="1455208"/>
            <a:ext cx="273600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EA35C9E-C356-4808-BC14-FD7E0AD43F14}"/>
              </a:ext>
            </a:extLst>
          </xdr:cNvPr>
          <xdr:cNvSpPr/>
        </xdr:nvSpPr>
        <xdr:spPr>
          <a:xfrm>
            <a:off x="8199966" y="1455208"/>
            <a:ext cx="2736000" cy="1047600"/>
          </a:xfrm>
          <a:prstGeom prst="roundRect">
            <a:avLst>
              <a:gd name="adj" fmla="val 85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303742</xdr:colOff>
      <xdr:row>1</xdr:row>
      <xdr:rowOff>102658</xdr:rowOff>
    </xdr:from>
    <xdr:to>
      <xdr:col>10</xdr:col>
      <xdr:colOff>303741</xdr:colOff>
      <xdr:row>3</xdr:row>
      <xdr:rowOff>197908</xdr:rowOff>
    </xdr:to>
    <xdr:sp macro="" textlink="'Sheets Design'!A10">
      <xdr:nvSpPr>
        <xdr:cNvPr id="11" name="TextBox 10">
          <a:extLst>
            <a:ext uri="{FF2B5EF4-FFF2-40B4-BE49-F238E27FC236}">
              <a16:creationId xmlns:a16="http://schemas.microsoft.com/office/drawing/2014/main" id="{0F425C04-DA54-D388-4BE3-F63D3A708B63}"/>
            </a:ext>
          </a:extLst>
        </xdr:cNvPr>
        <xdr:cNvSpPr txBox="1"/>
      </xdr:nvSpPr>
      <xdr:spPr>
        <a:xfrm>
          <a:off x="5553075" y="303741"/>
          <a:ext cx="1312333"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070D8E-A3EF-453A-8DFD-4D32E8F83A89}"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$1.20M</a:t>
          </a:fld>
          <a:endParaRPr lang="en-IN"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oneCellAnchor>
    <xdr:from>
      <xdr:col>8</xdr:col>
      <xdr:colOff>446616</xdr:colOff>
      <xdr:row>3</xdr:row>
      <xdr:rowOff>173281</xdr:rowOff>
    </xdr:from>
    <xdr:ext cx="1143001" cy="297004"/>
    <xdr:sp macro="" textlink="">
      <xdr:nvSpPr>
        <xdr:cNvPr id="13" name="TextBox 12">
          <a:extLst>
            <a:ext uri="{FF2B5EF4-FFF2-40B4-BE49-F238E27FC236}">
              <a16:creationId xmlns:a16="http://schemas.microsoft.com/office/drawing/2014/main" id="{D33EE81B-7EE9-5D0C-EAD9-49C872C09136}"/>
            </a:ext>
          </a:extLst>
        </xdr:cNvPr>
        <xdr:cNvSpPr txBox="1"/>
      </xdr:nvSpPr>
      <xdr:spPr>
        <a:xfrm>
          <a:off x="5695949" y="776531"/>
          <a:ext cx="114300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12</xdr:col>
      <xdr:colOff>463021</xdr:colOff>
      <xdr:row>1</xdr:row>
      <xdr:rowOff>102658</xdr:rowOff>
    </xdr:from>
    <xdr:to>
      <xdr:col>14</xdr:col>
      <xdr:colOff>463021</xdr:colOff>
      <xdr:row>3</xdr:row>
      <xdr:rowOff>197908</xdr:rowOff>
    </xdr:to>
    <xdr:sp macro="" textlink="'Sheets Design'!B10">
      <xdr:nvSpPr>
        <xdr:cNvPr id="14" name="TextBox 13">
          <a:extLst>
            <a:ext uri="{FF2B5EF4-FFF2-40B4-BE49-F238E27FC236}">
              <a16:creationId xmlns:a16="http://schemas.microsoft.com/office/drawing/2014/main" id="{C8DCCA05-4133-477E-BC12-6D284AE82A57}"/>
            </a:ext>
          </a:extLst>
        </xdr:cNvPr>
        <xdr:cNvSpPr txBox="1"/>
      </xdr:nvSpPr>
      <xdr:spPr>
        <a:xfrm>
          <a:off x="8337021" y="303741"/>
          <a:ext cx="1312333"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0D772F-729B-4EF1-A25E-6B471BFBF5C1}"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303742</xdr:colOff>
      <xdr:row>7</xdr:row>
      <xdr:rowOff>16933</xdr:rowOff>
    </xdr:from>
    <xdr:to>
      <xdr:col>10</xdr:col>
      <xdr:colOff>303741</xdr:colOff>
      <xdr:row>9</xdr:row>
      <xdr:rowOff>112183</xdr:rowOff>
    </xdr:to>
    <xdr:sp macro="" textlink="'Sheets Design'!C10">
      <xdr:nvSpPr>
        <xdr:cNvPr id="15" name="TextBox 14">
          <a:extLst>
            <a:ext uri="{FF2B5EF4-FFF2-40B4-BE49-F238E27FC236}">
              <a16:creationId xmlns:a16="http://schemas.microsoft.com/office/drawing/2014/main" id="{B75D5D12-E5D0-4A0F-8704-5A6463D8E6F0}"/>
            </a:ext>
          </a:extLst>
        </xdr:cNvPr>
        <xdr:cNvSpPr txBox="1"/>
      </xdr:nvSpPr>
      <xdr:spPr>
        <a:xfrm>
          <a:off x="5553075" y="1424516"/>
          <a:ext cx="1312333"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37D653-25A5-416B-9FE5-23A4098FE4C0}"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463021</xdr:colOff>
      <xdr:row>7</xdr:row>
      <xdr:rowOff>16933</xdr:rowOff>
    </xdr:from>
    <xdr:to>
      <xdr:col>14</xdr:col>
      <xdr:colOff>463021</xdr:colOff>
      <xdr:row>9</xdr:row>
      <xdr:rowOff>112183</xdr:rowOff>
    </xdr:to>
    <xdr:sp macro="" textlink="'Sheets Design'!D10">
      <xdr:nvSpPr>
        <xdr:cNvPr id="16" name="TextBox 15">
          <a:extLst>
            <a:ext uri="{FF2B5EF4-FFF2-40B4-BE49-F238E27FC236}">
              <a16:creationId xmlns:a16="http://schemas.microsoft.com/office/drawing/2014/main" id="{EFB1A3C9-FAE4-46C4-AE11-7BA4BF27ED6F}"/>
            </a:ext>
          </a:extLst>
        </xdr:cNvPr>
        <xdr:cNvSpPr txBox="1"/>
      </xdr:nvSpPr>
      <xdr:spPr>
        <a:xfrm>
          <a:off x="8337021" y="1424516"/>
          <a:ext cx="1312333"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C3CCE45-4841-4AA6-BDE4-8E4A91FEDF0A}"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oneCellAnchor>
    <xdr:from>
      <xdr:col>12</xdr:col>
      <xdr:colOff>618065</xdr:colOff>
      <xdr:row>3</xdr:row>
      <xdr:rowOff>173281</xdr:rowOff>
    </xdr:from>
    <xdr:ext cx="1143001" cy="297004"/>
    <xdr:sp macro="" textlink="">
      <xdr:nvSpPr>
        <xdr:cNvPr id="18" name="TextBox 17">
          <a:extLst>
            <a:ext uri="{FF2B5EF4-FFF2-40B4-BE49-F238E27FC236}">
              <a16:creationId xmlns:a16="http://schemas.microsoft.com/office/drawing/2014/main" id="{25BD3EF5-0EB5-4109-9E9D-E5661E996A98}"/>
            </a:ext>
          </a:extLst>
        </xdr:cNvPr>
        <xdr:cNvSpPr txBox="1"/>
      </xdr:nvSpPr>
      <xdr:spPr>
        <a:xfrm>
          <a:off x="8492065" y="776531"/>
          <a:ext cx="114300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8</xdr:col>
      <xdr:colOff>446616</xdr:colOff>
      <xdr:row>9</xdr:row>
      <xdr:rowOff>108723</xdr:rowOff>
    </xdr:from>
    <xdr:ext cx="1143001" cy="297004"/>
    <xdr:sp macro="" textlink="">
      <xdr:nvSpPr>
        <xdr:cNvPr id="19" name="TextBox 18">
          <a:extLst>
            <a:ext uri="{FF2B5EF4-FFF2-40B4-BE49-F238E27FC236}">
              <a16:creationId xmlns:a16="http://schemas.microsoft.com/office/drawing/2014/main" id="{EFB1DF7A-CE65-44F7-B561-0549AA503F5E}"/>
            </a:ext>
          </a:extLst>
        </xdr:cNvPr>
        <xdr:cNvSpPr txBox="1"/>
      </xdr:nvSpPr>
      <xdr:spPr>
        <a:xfrm>
          <a:off x="5695949" y="1918473"/>
          <a:ext cx="114300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No of Items</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12</xdr:col>
      <xdr:colOff>618065</xdr:colOff>
      <xdr:row>9</xdr:row>
      <xdr:rowOff>108723</xdr:rowOff>
    </xdr:from>
    <xdr:ext cx="1143001" cy="297004"/>
    <xdr:sp macro="" textlink="">
      <xdr:nvSpPr>
        <xdr:cNvPr id="20" name="TextBox 19">
          <a:extLst>
            <a:ext uri="{FF2B5EF4-FFF2-40B4-BE49-F238E27FC236}">
              <a16:creationId xmlns:a16="http://schemas.microsoft.com/office/drawing/2014/main" id="{A7C910BF-242C-4EA2-BAC5-BF3C72E8F4C9}"/>
            </a:ext>
          </a:extLst>
        </xdr:cNvPr>
        <xdr:cNvSpPr txBox="1"/>
      </xdr:nvSpPr>
      <xdr:spPr>
        <a:xfrm>
          <a:off x="8492065" y="1918473"/>
          <a:ext cx="114300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RATING</a:t>
          </a:r>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16</xdr:col>
      <xdr:colOff>7810</xdr:colOff>
      <xdr:row>1</xdr:row>
      <xdr:rowOff>95250</xdr:rowOff>
    </xdr:from>
    <xdr:to>
      <xdr:col>16</xdr:col>
      <xdr:colOff>296332</xdr:colOff>
      <xdr:row>2</xdr:row>
      <xdr:rowOff>190500</xdr:rowOff>
    </xdr:to>
    <xdr:pic>
      <xdr:nvPicPr>
        <xdr:cNvPr id="21" name="Picture 20">
          <a:extLst>
            <a:ext uri="{FF2B5EF4-FFF2-40B4-BE49-F238E27FC236}">
              <a16:creationId xmlns:a16="http://schemas.microsoft.com/office/drawing/2014/main" id="{15971731-79D2-D553-F8E9-039F8848C4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06477" y="296333"/>
          <a:ext cx="288522" cy="29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367925</xdr:colOff>
      <xdr:row>1</xdr:row>
      <xdr:rowOff>95251</xdr:rowOff>
    </xdr:from>
    <xdr:to>
      <xdr:col>12</xdr:col>
      <xdr:colOff>10583</xdr:colOff>
      <xdr:row>3</xdr:row>
      <xdr:rowOff>0</xdr:rowOff>
    </xdr:to>
    <xdr:pic>
      <xdr:nvPicPr>
        <xdr:cNvPr id="22" name="Picture 21">
          <a:extLst>
            <a:ext uri="{FF2B5EF4-FFF2-40B4-BE49-F238E27FC236}">
              <a16:creationId xmlns:a16="http://schemas.microsoft.com/office/drawing/2014/main" id="{C2177DAD-817E-6813-D0E1-BD9F5B127F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85758" y="296334"/>
          <a:ext cx="298825" cy="306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381000</xdr:colOff>
      <xdr:row>7</xdr:row>
      <xdr:rowOff>74082</xdr:rowOff>
    </xdr:from>
    <xdr:to>
      <xdr:col>12</xdr:col>
      <xdr:colOff>22544</xdr:colOff>
      <xdr:row>8</xdr:row>
      <xdr:rowOff>178769</xdr:rowOff>
    </xdr:to>
    <xdr:pic>
      <xdr:nvPicPr>
        <xdr:cNvPr id="23" name="Picture 22">
          <a:extLst>
            <a:ext uri="{FF2B5EF4-FFF2-40B4-BE49-F238E27FC236}">
              <a16:creationId xmlns:a16="http://schemas.microsoft.com/office/drawing/2014/main" id="{96CC404E-A187-A7C5-C233-21BCB4AA0A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98833" y="1481665"/>
          <a:ext cx="297711" cy="305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645583</xdr:colOff>
      <xdr:row>7</xdr:row>
      <xdr:rowOff>63501</xdr:rowOff>
    </xdr:from>
    <xdr:to>
      <xdr:col>16</xdr:col>
      <xdr:colOff>309688</xdr:colOff>
      <xdr:row>8</xdr:row>
      <xdr:rowOff>191361</xdr:rowOff>
    </xdr:to>
    <xdr:pic>
      <xdr:nvPicPr>
        <xdr:cNvPr id="24" name="Picture 23">
          <a:extLst>
            <a:ext uri="{FF2B5EF4-FFF2-40B4-BE49-F238E27FC236}">
              <a16:creationId xmlns:a16="http://schemas.microsoft.com/office/drawing/2014/main" id="{A00B6B7A-3A2A-84A6-9F32-C0F7D6124E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488083" y="1471084"/>
          <a:ext cx="320272" cy="328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93133</xdr:colOff>
      <xdr:row>13</xdr:row>
      <xdr:rowOff>53974</xdr:rowOff>
    </xdr:from>
    <xdr:to>
      <xdr:col>16</xdr:col>
      <xdr:colOff>243416</xdr:colOff>
      <xdr:row>37</xdr:row>
      <xdr:rowOff>95250</xdr:rowOff>
    </xdr:to>
    <xdr:sp macro="" textlink="">
      <xdr:nvSpPr>
        <xdr:cNvPr id="25" name="Rectangle: Rounded Corners 24">
          <a:extLst>
            <a:ext uri="{FF2B5EF4-FFF2-40B4-BE49-F238E27FC236}">
              <a16:creationId xmlns:a16="http://schemas.microsoft.com/office/drawing/2014/main" id="{39B2B3D0-2359-4D32-97B8-5CFA184F4AD9}"/>
            </a:ext>
          </a:extLst>
        </xdr:cNvPr>
        <xdr:cNvSpPr/>
      </xdr:nvSpPr>
      <xdr:spPr>
        <a:xfrm>
          <a:off x="5342466" y="2668057"/>
          <a:ext cx="5399617" cy="4867276"/>
        </a:xfrm>
        <a:prstGeom prst="roundRect">
          <a:avLst>
            <a:gd name="adj" fmla="val 8585"/>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218017</xdr:colOff>
      <xdr:row>13</xdr:row>
      <xdr:rowOff>77310</xdr:rowOff>
    </xdr:from>
    <xdr:ext cx="1274234" cy="297004"/>
    <xdr:sp macro="" textlink="">
      <xdr:nvSpPr>
        <xdr:cNvPr id="27" name="TextBox 26">
          <a:extLst>
            <a:ext uri="{FF2B5EF4-FFF2-40B4-BE49-F238E27FC236}">
              <a16:creationId xmlns:a16="http://schemas.microsoft.com/office/drawing/2014/main" id="{D117B514-DE54-4321-8B41-35F5F4E3396E}"/>
            </a:ext>
          </a:extLst>
        </xdr:cNvPr>
        <xdr:cNvSpPr txBox="1"/>
      </xdr:nvSpPr>
      <xdr:spPr>
        <a:xfrm>
          <a:off x="5467350" y="2691393"/>
          <a:ext cx="127423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FAT CONTENT</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8</xdr:col>
      <xdr:colOff>241300</xdr:colOff>
      <xdr:row>15</xdr:row>
      <xdr:rowOff>1057</xdr:rowOff>
    </xdr:from>
    <xdr:to>
      <xdr:col>11</xdr:col>
      <xdr:colOff>576800</xdr:colOff>
      <xdr:row>24</xdr:row>
      <xdr:rowOff>160507</xdr:rowOff>
    </xdr:to>
    <xdr:graphicFrame macro="">
      <xdr:nvGraphicFramePr>
        <xdr:cNvPr id="12" name="Chart 11">
          <a:extLst>
            <a:ext uri="{FF2B5EF4-FFF2-40B4-BE49-F238E27FC236}">
              <a16:creationId xmlns:a16="http://schemas.microsoft.com/office/drawing/2014/main" id="{64D953AF-3DF8-4F70-82EF-82905F48B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289983</xdr:colOff>
      <xdr:row>13</xdr:row>
      <xdr:rowOff>85724</xdr:rowOff>
    </xdr:from>
    <xdr:to>
      <xdr:col>12</xdr:col>
      <xdr:colOff>306917</xdr:colOff>
      <xdr:row>37</xdr:row>
      <xdr:rowOff>52917</xdr:rowOff>
    </xdr:to>
    <xdr:cxnSp macro="">
      <xdr:nvCxnSpPr>
        <xdr:cNvPr id="28" name="Straight Connector 27">
          <a:extLst>
            <a:ext uri="{FF2B5EF4-FFF2-40B4-BE49-F238E27FC236}">
              <a16:creationId xmlns:a16="http://schemas.microsoft.com/office/drawing/2014/main" id="{FB84DA3B-7D96-304D-9ED6-712EA09B2479}"/>
            </a:ext>
          </a:extLst>
        </xdr:cNvPr>
        <xdr:cNvCxnSpPr/>
      </xdr:nvCxnSpPr>
      <xdr:spPr>
        <a:xfrm>
          <a:off x="8163983" y="2699807"/>
          <a:ext cx="16934" cy="479319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156632</xdr:colOff>
      <xdr:row>25</xdr:row>
      <xdr:rowOff>84668</xdr:rowOff>
    </xdr:from>
    <xdr:to>
      <xdr:col>12</xdr:col>
      <xdr:colOff>201083</xdr:colOff>
      <xdr:row>25</xdr:row>
      <xdr:rowOff>101071</xdr:rowOff>
    </xdr:to>
    <xdr:cxnSp macro="">
      <xdr:nvCxnSpPr>
        <xdr:cNvPr id="29" name="Straight Connector 28">
          <a:extLst>
            <a:ext uri="{FF2B5EF4-FFF2-40B4-BE49-F238E27FC236}">
              <a16:creationId xmlns:a16="http://schemas.microsoft.com/office/drawing/2014/main" id="{2CA16DB2-F2F5-428B-B6B0-766AFF44E1AF}"/>
            </a:ext>
          </a:extLst>
        </xdr:cNvPr>
        <xdr:cNvCxnSpPr/>
      </xdr:nvCxnSpPr>
      <xdr:spPr>
        <a:xfrm flipH="1">
          <a:off x="5405965" y="5111751"/>
          <a:ext cx="2669118" cy="1640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27</xdr:row>
      <xdr:rowOff>42334</xdr:rowOff>
    </xdr:from>
    <xdr:to>
      <xdr:col>12</xdr:col>
      <xdr:colOff>179916</xdr:colOff>
      <xdr:row>38</xdr:row>
      <xdr:rowOff>10583</xdr:rowOff>
    </xdr:to>
    <xdr:graphicFrame macro="">
      <xdr:nvGraphicFramePr>
        <xdr:cNvPr id="17" name="Chart 16">
          <a:extLst>
            <a:ext uri="{FF2B5EF4-FFF2-40B4-BE49-F238E27FC236}">
              <a16:creationId xmlns:a16="http://schemas.microsoft.com/office/drawing/2014/main" id="{6AB9D30D-DDBF-4DAA-B371-58F3F9E83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8</xdr:col>
      <xdr:colOff>254000</xdr:colOff>
      <xdr:row>25</xdr:row>
      <xdr:rowOff>197960</xdr:rowOff>
    </xdr:from>
    <xdr:ext cx="1274234" cy="297004"/>
    <xdr:sp macro="" textlink="">
      <xdr:nvSpPr>
        <xdr:cNvPr id="26" name="TextBox 25">
          <a:extLst>
            <a:ext uri="{FF2B5EF4-FFF2-40B4-BE49-F238E27FC236}">
              <a16:creationId xmlns:a16="http://schemas.microsoft.com/office/drawing/2014/main" id="{FD69B4A1-51E6-4A24-AAF4-C1E5048A0223}"/>
            </a:ext>
          </a:extLst>
        </xdr:cNvPr>
        <xdr:cNvSpPr txBox="1"/>
      </xdr:nvSpPr>
      <xdr:spPr>
        <a:xfrm>
          <a:off x="5503333" y="5225043"/>
          <a:ext cx="127423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FAT BY OUTLET</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12</xdr:col>
      <xdr:colOff>289984</xdr:colOff>
      <xdr:row>13</xdr:row>
      <xdr:rowOff>64610</xdr:rowOff>
    </xdr:from>
    <xdr:ext cx="1274234" cy="297004"/>
    <xdr:sp macro="" textlink="">
      <xdr:nvSpPr>
        <xdr:cNvPr id="30" name="TextBox 29">
          <a:extLst>
            <a:ext uri="{FF2B5EF4-FFF2-40B4-BE49-F238E27FC236}">
              <a16:creationId xmlns:a16="http://schemas.microsoft.com/office/drawing/2014/main" id="{DCED33EC-DB89-4690-98E0-D0028B2C5B30}"/>
            </a:ext>
          </a:extLst>
        </xdr:cNvPr>
        <xdr:cNvSpPr txBox="1"/>
      </xdr:nvSpPr>
      <xdr:spPr>
        <a:xfrm>
          <a:off x="8163984" y="2678693"/>
          <a:ext cx="127423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ITEM TYPE</a:t>
          </a:r>
        </a:p>
      </xdr:txBody>
    </xdr:sp>
    <xdr:clientData/>
  </xdr:oneCellAnchor>
  <xdr:twoCellAnchor>
    <xdr:from>
      <xdr:col>12</xdr:col>
      <xdr:colOff>306918</xdr:colOff>
      <xdr:row>14</xdr:row>
      <xdr:rowOff>169334</xdr:rowOff>
    </xdr:from>
    <xdr:to>
      <xdr:col>16</xdr:col>
      <xdr:colOff>243417</xdr:colOff>
      <xdr:row>37</xdr:row>
      <xdr:rowOff>105834</xdr:rowOff>
    </xdr:to>
    <xdr:graphicFrame macro="">
      <xdr:nvGraphicFramePr>
        <xdr:cNvPr id="31" name="Chart 30">
          <a:extLst>
            <a:ext uri="{FF2B5EF4-FFF2-40B4-BE49-F238E27FC236}">
              <a16:creationId xmlns:a16="http://schemas.microsoft.com/office/drawing/2014/main" id="{6DB30798-B5BC-4EC3-9DD3-9F09F7500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370417</xdr:colOff>
      <xdr:row>8</xdr:row>
      <xdr:rowOff>52918</xdr:rowOff>
    </xdr:from>
    <xdr:to>
      <xdr:col>7</xdr:col>
      <xdr:colOff>391584</xdr:colOff>
      <xdr:row>16</xdr:row>
      <xdr:rowOff>42334</xdr:rowOff>
    </xdr:to>
    <mc:AlternateContent xmlns:mc="http://schemas.openxmlformats.org/markup-compatibility/2006" xmlns:a14="http://schemas.microsoft.com/office/drawing/2010/main">
      <mc:Choice Requires="a14">
        <xdr:graphicFrame macro="">
          <xdr:nvGraphicFramePr>
            <xdr:cNvPr id="32" name="Outlet Size 1">
              <a:extLst>
                <a:ext uri="{FF2B5EF4-FFF2-40B4-BE49-F238E27FC236}">
                  <a16:creationId xmlns:a16="http://schemas.microsoft.com/office/drawing/2014/main" id="{E71C2BCC-4806-4169-96BF-1BB0AEEFB10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995084" y="1661585"/>
              <a:ext cx="1989667" cy="1598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637113</xdr:colOff>
      <xdr:row>1</xdr:row>
      <xdr:rowOff>31750</xdr:rowOff>
    </xdr:from>
    <xdr:to>
      <xdr:col>26</xdr:col>
      <xdr:colOff>179916</xdr:colOff>
      <xdr:row>38</xdr:row>
      <xdr:rowOff>52917</xdr:rowOff>
    </xdr:to>
    <xdr:sp macro="" textlink="">
      <xdr:nvSpPr>
        <xdr:cNvPr id="34" name="Rectangle: Rounded Corners 33">
          <a:extLst>
            <a:ext uri="{FF2B5EF4-FFF2-40B4-BE49-F238E27FC236}">
              <a16:creationId xmlns:a16="http://schemas.microsoft.com/office/drawing/2014/main" id="{A4C617A9-6984-4EBA-B6C2-65D596B4C84F}"/>
            </a:ext>
          </a:extLst>
        </xdr:cNvPr>
        <xdr:cNvSpPr/>
      </xdr:nvSpPr>
      <xdr:spPr>
        <a:xfrm>
          <a:off x="11135780" y="232833"/>
          <a:ext cx="6104469" cy="7461251"/>
        </a:xfrm>
        <a:prstGeom prst="roundRect">
          <a:avLst>
            <a:gd name="adj" fmla="val 8585"/>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31750</xdr:colOff>
      <xdr:row>2</xdr:row>
      <xdr:rowOff>74086</xdr:rowOff>
    </xdr:from>
    <xdr:to>
      <xdr:col>26</xdr:col>
      <xdr:colOff>95250</xdr:colOff>
      <xdr:row>12</xdr:row>
      <xdr:rowOff>52917</xdr:rowOff>
    </xdr:to>
    <xdr:graphicFrame macro="">
      <xdr:nvGraphicFramePr>
        <xdr:cNvPr id="36" name="Chart 35">
          <a:extLst>
            <a:ext uri="{FF2B5EF4-FFF2-40B4-BE49-F238E27FC236}">
              <a16:creationId xmlns:a16="http://schemas.microsoft.com/office/drawing/2014/main" id="{C868B758-FF61-4A0A-B577-61D9C8E8B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17</xdr:col>
      <xdr:colOff>188384</xdr:colOff>
      <xdr:row>1</xdr:row>
      <xdr:rowOff>94044</xdr:rowOff>
    </xdr:from>
    <xdr:ext cx="2065865" cy="297004"/>
    <xdr:sp macro="" textlink="">
      <xdr:nvSpPr>
        <xdr:cNvPr id="33" name="TextBox 32">
          <a:extLst>
            <a:ext uri="{FF2B5EF4-FFF2-40B4-BE49-F238E27FC236}">
              <a16:creationId xmlns:a16="http://schemas.microsoft.com/office/drawing/2014/main" id="{1C6BE06C-6A57-4818-A38D-184704874F89}"/>
            </a:ext>
          </a:extLst>
        </xdr:cNvPr>
        <xdr:cNvSpPr txBox="1"/>
      </xdr:nvSpPr>
      <xdr:spPr>
        <a:xfrm>
          <a:off x="11343217" y="295127"/>
          <a:ext cx="20658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OUTLET ESTABLISHMENT</a:t>
          </a:r>
        </a:p>
      </xdr:txBody>
    </xdr:sp>
    <xdr:clientData/>
  </xdr:oneCellAnchor>
  <xdr:twoCellAnchor>
    <xdr:from>
      <xdr:col>17</xdr:col>
      <xdr:colOff>129115</xdr:colOff>
      <xdr:row>12</xdr:row>
      <xdr:rowOff>189971</xdr:rowOff>
    </xdr:from>
    <xdr:to>
      <xdr:col>26</xdr:col>
      <xdr:colOff>0</xdr:colOff>
      <xdr:row>13</xdr:row>
      <xdr:rowOff>0</xdr:rowOff>
    </xdr:to>
    <xdr:cxnSp macro="">
      <xdr:nvCxnSpPr>
        <xdr:cNvPr id="35" name="Straight Connector 34">
          <a:extLst>
            <a:ext uri="{FF2B5EF4-FFF2-40B4-BE49-F238E27FC236}">
              <a16:creationId xmlns:a16="http://schemas.microsoft.com/office/drawing/2014/main" id="{277F5FAA-4006-4ACF-8984-A35FFAA7DF51}"/>
            </a:ext>
          </a:extLst>
        </xdr:cNvPr>
        <xdr:cNvCxnSpPr/>
      </xdr:nvCxnSpPr>
      <xdr:spPr>
        <a:xfrm flipH="1" flipV="1">
          <a:off x="11283948" y="2602971"/>
          <a:ext cx="5776385" cy="1111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232834</xdr:colOff>
      <xdr:row>13</xdr:row>
      <xdr:rowOff>11762</xdr:rowOff>
    </xdr:from>
    <xdr:ext cx="1126065" cy="297004"/>
    <xdr:sp macro="" textlink="">
      <xdr:nvSpPr>
        <xdr:cNvPr id="38" name="TextBox 37">
          <a:extLst>
            <a:ext uri="{FF2B5EF4-FFF2-40B4-BE49-F238E27FC236}">
              <a16:creationId xmlns:a16="http://schemas.microsoft.com/office/drawing/2014/main" id="{E78A26D4-65F4-44D6-BBE2-ADF4D55580EC}"/>
            </a:ext>
          </a:extLst>
        </xdr:cNvPr>
        <xdr:cNvSpPr txBox="1"/>
      </xdr:nvSpPr>
      <xdr:spPr>
        <a:xfrm>
          <a:off x="11387667" y="2625845"/>
          <a:ext cx="11260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OUTLET SIZE</a:t>
          </a:r>
        </a:p>
      </xdr:txBody>
    </xdr:sp>
    <xdr:clientData/>
  </xdr:oneCellAnchor>
  <xdr:twoCellAnchor>
    <xdr:from>
      <xdr:col>17</xdr:col>
      <xdr:colOff>275167</xdr:colOff>
      <xdr:row>14</xdr:row>
      <xdr:rowOff>63500</xdr:rowOff>
    </xdr:from>
    <xdr:to>
      <xdr:col>21</xdr:col>
      <xdr:colOff>404500</xdr:colOff>
      <xdr:row>25</xdr:row>
      <xdr:rowOff>101584</xdr:rowOff>
    </xdr:to>
    <xdr:graphicFrame macro="">
      <xdr:nvGraphicFramePr>
        <xdr:cNvPr id="39" name="Chart 38">
          <a:extLst>
            <a:ext uri="{FF2B5EF4-FFF2-40B4-BE49-F238E27FC236}">
              <a16:creationId xmlns:a16="http://schemas.microsoft.com/office/drawing/2014/main" id="{3E14830D-6D7B-482A-BDED-4EE8581BB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143932</xdr:colOff>
      <xdr:row>25</xdr:row>
      <xdr:rowOff>183621</xdr:rowOff>
    </xdr:from>
    <xdr:to>
      <xdr:col>26</xdr:col>
      <xdr:colOff>14817</xdr:colOff>
      <xdr:row>25</xdr:row>
      <xdr:rowOff>194733</xdr:rowOff>
    </xdr:to>
    <xdr:cxnSp macro="">
      <xdr:nvCxnSpPr>
        <xdr:cNvPr id="40" name="Straight Connector 39">
          <a:extLst>
            <a:ext uri="{FF2B5EF4-FFF2-40B4-BE49-F238E27FC236}">
              <a16:creationId xmlns:a16="http://schemas.microsoft.com/office/drawing/2014/main" id="{B5AB5AA7-68F2-4FA1-A250-A26251F0B7AD}"/>
            </a:ext>
          </a:extLst>
        </xdr:cNvPr>
        <xdr:cNvCxnSpPr/>
      </xdr:nvCxnSpPr>
      <xdr:spPr>
        <a:xfrm flipH="1" flipV="1">
          <a:off x="11298765" y="5210704"/>
          <a:ext cx="5776385" cy="1111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370417</xdr:colOff>
      <xdr:row>12</xdr:row>
      <xdr:rowOff>190500</xdr:rowOff>
    </xdr:from>
    <xdr:to>
      <xdr:col>21</xdr:col>
      <xdr:colOff>391583</xdr:colOff>
      <xdr:row>25</xdr:row>
      <xdr:rowOff>158750</xdr:rowOff>
    </xdr:to>
    <xdr:cxnSp macro="">
      <xdr:nvCxnSpPr>
        <xdr:cNvPr id="41" name="Straight Connector 40">
          <a:extLst>
            <a:ext uri="{FF2B5EF4-FFF2-40B4-BE49-F238E27FC236}">
              <a16:creationId xmlns:a16="http://schemas.microsoft.com/office/drawing/2014/main" id="{F3DC3AB5-4625-4BD9-B99C-711F2C497A0C}"/>
            </a:ext>
          </a:extLst>
        </xdr:cNvPr>
        <xdr:cNvCxnSpPr/>
      </xdr:nvCxnSpPr>
      <xdr:spPr>
        <a:xfrm>
          <a:off x="14149917" y="2603500"/>
          <a:ext cx="21166" cy="258233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497416</xdr:colOff>
      <xdr:row>14</xdr:row>
      <xdr:rowOff>179917</xdr:rowOff>
    </xdr:from>
    <xdr:to>
      <xdr:col>26</xdr:col>
      <xdr:colOff>74083</xdr:colOff>
      <xdr:row>25</xdr:row>
      <xdr:rowOff>158750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DB6A2DC2-2350-4D87-A75E-398BA61A95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365816" y="2935817"/>
              <a:ext cx="2878667" cy="21441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533400</xdr:colOff>
      <xdr:row>13</xdr:row>
      <xdr:rowOff>37162</xdr:rowOff>
    </xdr:from>
    <xdr:ext cx="1625599" cy="297004"/>
    <xdr:sp macro="" textlink="">
      <xdr:nvSpPr>
        <xdr:cNvPr id="45" name="TextBox 44">
          <a:extLst>
            <a:ext uri="{FF2B5EF4-FFF2-40B4-BE49-F238E27FC236}">
              <a16:creationId xmlns:a16="http://schemas.microsoft.com/office/drawing/2014/main" id="{0E4D041D-886E-45E8-A026-C1F9F8898951}"/>
            </a:ext>
          </a:extLst>
        </xdr:cNvPr>
        <xdr:cNvSpPr txBox="1"/>
      </xdr:nvSpPr>
      <xdr:spPr>
        <a:xfrm>
          <a:off x="14312900" y="2651245"/>
          <a:ext cx="1625599"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OUTLET LOCATION</a:t>
          </a:r>
        </a:p>
      </xdr:txBody>
    </xdr:sp>
    <xdr:clientData/>
  </xdr:oneCellAnchor>
  <xdr:twoCellAnchor>
    <xdr:from>
      <xdr:col>16</xdr:col>
      <xdr:colOff>624416</xdr:colOff>
      <xdr:row>26</xdr:row>
      <xdr:rowOff>138042</xdr:rowOff>
    </xdr:from>
    <xdr:to>
      <xdr:col>21</xdr:col>
      <xdr:colOff>137583</xdr:colOff>
      <xdr:row>36</xdr:row>
      <xdr:rowOff>143209</xdr:rowOff>
    </xdr:to>
    <xdr:graphicFrame macro="">
      <xdr:nvGraphicFramePr>
        <xdr:cNvPr id="52" name="Chart 51">
          <a:extLst>
            <a:ext uri="{FF2B5EF4-FFF2-40B4-BE49-F238E27FC236}">
              <a16:creationId xmlns:a16="http://schemas.microsoft.com/office/drawing/2014/main" id="{E5DFC960-7072-47A1-8BD5-F9931A2E4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17</xdr:col>
      <xdr:colOff>258234</xdr:colOff>
      <xdr:row>26</xdr:row>
      <xdr:rowOff>5411</xdr:rowOff>
    </xdr:from>
    <xdr:ext cx="1126065" cy="297004"/>
    <xdr:sp macro="" textlink="">
      <xdr:nvSpPr>
        <xdr:cNvPr id="53" name="TextBox 52">
          <a:extLst>
            <a:ext uri="{FF2B5EF4-FFF2-40B4-BE49-F238E27FC236}">
              <a16:creationId xmlns:a16="http://schemas.microsoft.com/office/drawing/2014/main" id="{A7B17FD3-7167-4B4B-B78E-872A3D7E6D68}"/>
            </a:ext>
          </a:extLst>
        </xdr:cNvPr>
        <xdr:cNvSpPr txBox="1"/>
      </xdr:nvSpPr>
      <xdr:spPr>
        <a:xfrm>
          <a:off x="11413067" y="5233578"/>
          <a:ext cx="11260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OUTLET TYPE</a:t>
          </a:r>
        </a:p>
      </xdr:txBody>
    </xdr:sp>
    <xdr:clientData/>
  </xdr:oneCellAnchor>
  <xdr:twoCellAnchor>
    <xdr:from>
      <xdr:col>20</xdr:col>
      <xdr:colOff>455084</xdr:colOff>
      <xdr:row>26</xdr:row>
      <xdr:rowOff>142875</xdr:rowOff>
    </xdr:from>
    <xdr:to>
      <xdr:col>23</xdr:col>
      <xdr:colOff>169333</xdr:colOff>
      <xdr:row>36</xdr:row>
      <xdr:rowOff>112042</xdr:rowOff>
    </xdr:to>
    <xdr:graphicFrame macro="">
      <xdr:nvGraphicFramePr>
        <xdr:cNvPr id="54" name="Chart 53">
          <a:extLst>
            <a:ext uri="{FF2B5EF4-FFF2-40B4-BE49-F238E27FC236}">
              <a16:creationId xmlns:a16="http://schemas.microsoft.com/office/drawing/2014/main" id="{85D23358-438F-4FE6-8C72-5A9437014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158750</xdr:colOff>
      <xdr:row>26</xdr:row>
      <xdr:rowOff>169333</xdr:rowOff>
    </xdr:from>
    <xdr:to>
      <xdr:col>26</xdr:col>
      <xdr:colOff>148167</xdr:colOff>
      <xdr:row>36</xdr:row>
      <xdr:rowOff>116418</xdr:rowOff>
    </xdr:to>
    <xdr:graphicFrame macro="">
      <xdr:nvGraphicFramePr>
        <xdr:cNvPr id="55" name="Chart 54">
          <a:extLst>
            <a:ext uri="{FF2B5EF4-FFF2-40B4-BE49-F238E27FC236}">
              <a16:creationId xmlns:a16="http://schemas.microsoft.com/office/drawing/2014/main" id="{98FB054D-6B3F-44EF-9509-1B7DE8803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17</xdr:col>
      <xdr:colOff>569384</xdr:colOff>
      <xdr:row>35</xdr:row>
      <xdr:rowOff>200144</xdr:rowOff>
    </xdr:from>
    <xdr:ext cx="1126065" cy="297004"/>
    <xdr:sp macro="" textlink="">
      <xdr:nvSpPr>
        <xdr:cNvPr id="56" name="TextBox 55">
          <a:extLst>
            <a:ext uri="{FF2B5EF4-FFF2-40B4-BE49-F238E27FC236}">
              <a16:creationId xmlns:a16="http://schemas.microsoft.com/office/drawing/2014/main" id="{D18453CC-41DB-4B1D-8BA4-CD04262B1E0B}"/>
            </a:ext>
          </a:extLst>
        </xdr:cNvPr>
        <xdr:cNvSpPr txBox="1"/>
      </xdr:nvSpPr>
      <xdr:spPr>
        <a:xfrm>
          <a:off x="11724217" y="7238061"/>
          <a:ext cx="11260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Sum of Sales</a:t>
          </a:r>
        </a:p>
      </xdr:txBody>
    </xdr:sp>
    <xdr:clientData/>
  </xdr:oneCellAnchor>
  <xdr:oneCellAnchor>
    <xdr:from>
      <xdr:col>20</xdr:col>
      <xdr:colOff>436034</xdr:colOff>
      <xdr:row>36</xdr:row>
      <xdr:rowOff>3294</xdr:rowOff>
    </xdr:from>
    <xdr:ext cx="1126065" cy="297004"/>
    <xdr:sp macro="" textlink="">
      <xdr:nvSpPr>
        <xdr:cNvPr id="57" name="TextBox 56">
          <a:extLst>
            <a:ext uri="{FF2B5EF4-FFF2-40B4-BE49-F238E27FC236}">
              <a16:creationId xmlns:a16="http://schemas.microsoft.com/office/drawing/2014/main" id="{D10B34C5-D26D-42F6-9BB6-BE6D271B10DD}"/>
            </a:ext>
          </a:extLst>
        </xdr:cNvPr>
        <xdr:cNvSpPr txBox="1"/>
      </xdr:nvSpPr>
      <xdr:spPr>
        <a:xfrm>
          <a:off x="13559367" y="7242294"/>
          <a:ext cx="11260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of Sales</a:t>
          </a:r>
        </a:p>
      </xdr:txBody>
    </xdr:sp>
    <xdr:clientData/>
  </xdr:oneCellAnchor>
  <xdr:oneCellAnchor>
    <xdr:from>
      <xdr:col>23</xdr:col>
      <xdr:colOff>260351</xdr:colOff>
      <xdr:row>36</xdr:row>
      <xdr:rowOff>18111</xdr:rowOff>
    </xdr:from>
    <xdr:ext cx="1126065" cy="297004"/>
    <xdr:sp macro="" textlink="">
      <xdr:nvSpPr>
        <xdr:cNvPr id="58" name="TextBox 57">
          <a:extLst>
            <a:ext uri="{FF2B5EF4-FFF2-40B4-BE49-F238E27FC236}">
              <a16:creationId xmlns:a16="http://schemas.microsoft.com/office/drawing/2014/main" id="{73FA0D7A-732F-4A9E-89B4-A41CFDE569D7}"/>
            </a:ext>
          </a:extLst>
        </xdr:cNvPr>
        <xdr:cNvSpPr txBox="1"/>
      </xdr:nvSpPr>
      <xdr:spPr>
        <a:xfrm>
          <a:off x="15352184" y="7257111"/>
          <a:ext cx="112606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No of Items</a:t>
          </a:r>
        </a:p>
      </xdr:txBody>
    </xdr:sp>
    <xdr:clientData/>
  </xdr:oneCellAnchor>
  <xdr:twoCellAnchor editAs="oneCell">
    <xdr:from>
      <xdr:col>4</xdr:col>
      <xdr:colOff>381000</xdr:colOff>
      <xdr:row>17</xdr:row>
      <xdr:rowOff>52916</xdr:rowOff>
    </xdr:from>
    <xdr:to>
      <xdr:col>7</xdr:col>
      <xdr:colOff>389467</xdr:colOff>
      <xdr:row>25</xdr:row>
      <xdr:rowOff>74084</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2ED9EED7-3E91-4F4A-A3E3-7D337EEA3A5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005667" y="3471333"/>
              <a:ext cx="1976967" cy="1629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423332</xdr:colOff>
      <xdr:row>25</xdr:row>
      <xdr:rowOff>169334</xdr:rowOff>
    </xdr:from>
    <xdr:to>
      <xdr:col>7</xdr:col>
      <xdr:colOff>391582</xdr:colOff>
      <xdr:row>34</xdr:row>
      <xdr:rowOff>63500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717C4DCD-5044-486B-BC25-FBE6F7C8CAE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047999" y="5196417"/>
              <a:ext cx="1936750" cy="1703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105832</xdr:colOff>
      <xdr:row>6</xdr:row>
      <xdr:rowOff>53904</xdr:rowOff>
    </xdr:from>
    <xdr:ext cx="1428751" cy="331116"/>
    <xdr:sp macro="" textlink="">
      <xdr:nvSpPr>
        <xdr:cNvPr id="61" name="TextBox 60">
          <a:extLst>
            <a:ext uri="{FF2B5EF4-FFF2-40B4-BE49-F238E27FC236}">
              <a16:creationId xmlns:a16="http://schemas.microsoft.com/office/drawing/2014/main" id="{20D069D6-BD71-436F-B6EB-0D32784ED46A}"/>
            </a:ext>
          </a:extLst>
        </xdr:cNvPr>
        <xdr:cNvSpPr txBox="1"/>
      </xdr:nvSpPr>
      <xdr:spPr>
        <a:xfrm>
          <a:off x="3386665" y="1260404"/>
          <a:ext cx="1428751" cy="3311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aseline="0">
              <a:solidFill>
                <a:schemeClr val="accent6">
                  <a:lumMod val="75000"/>
                </a:schemeClr>
              </a:solidFill>
              <a:latin typeface="Segoe UI Semibold" panose="020B0702040204020203" pitchFamily="34" charset="0"/>
              <a:cs typeface="Segoe UI Semibold" panose="020B0702040204020203" pitchFamily="34" charset="0"/>
            </a:rPr>
            <a:t>FILTER PANEL</a:t>
          </a:r>
          <a:endParaRPr lang="en-IN" sz="1400">
            <a:solidFill>
              <a:schemeClr val="accent6">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4</xdr:col>
      <xdr:colOff>525505</xdr:colOff>
      <xdr:row>6</xdr:row>
      <xdr:rowOff>63499</xdr:rowOff>
    </xdr:from>
    <xdr:to>
      <xdr:col>5</xdr:col>
      <xdr:colOff>157861</xdr:colOff>
      <xdr:row>7</xdr:row>
      <xdr:rowOff>158750</xdr:rowOff>
    </xdr:to>
    <xdr:pic>
      <xdr:nvPicPr>
        <xdr:cNvPr id="62" name="Picture 61">
          <a:extLst>
            <a:ext uri="{FF2B5EF4-FFF2-40B4-BE49-F238E27FC236}">
              <a16:creationId xmlns:a16="http://schemas.microsoft.com/office/drawing/2014/main" id="{842B46B6-894E-A11F-437F-69E2973AB4D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150172" y="1269999"/>
          <a:ext cx="288522" cy="29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624776</xdr:colOff>
      <xdr:row>34</xdr:row>
      <xdr:rowOff>137584</xdr:rowOff>
    </xdr:from>
    <xdr:to>
      <xdr:col>5</xdr:col>
      <xdr:colOff>529167</xdr:colOff>
      <xdr:row>37</xdr:row>
      <xdr:rowOff>110068</xdr:rowOff>
    </xdr:to>
    <xdr:pic>
      <xdr:nvPicPr>
        <xdr:cNvPr id="63" name="Picture 62">
          <a:hlinkClick xmlns:r="http://schemas.openxmlformats.org/officeDocument/2006/relationships" r:id="rId15"/>
          <a:extLst>
            <a:ext uri="{FF2B5EF4-FFF2-40B4-BE49-F238E27FC236}">
              <a16:creationId xmlns:a16="http://schemas.microsoft.com/office/drawing/2014/main" id="{BCB2B399-73C3-831B-AA45-AED39F4BA60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249443" y="6974417"/>
          <a:ext cx="560557" cy="575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285632</xdr:colOff>
      <xdr:row>35</xdr:row>
      <xdr:rowOff>0</xdr:rowOff>
    </xdr:from>
    <xdr:to>
      <xdr:col>7</xdr:col>
      <xdr:colOff>31749</xdr:colOff>
      <xdr:row>37</xdr:row>
      <xdr:rowOff>71966</xdr:rowOff>
    </xdr:to>
    <xdr:pic>
      <xdr:nvPicPr>
        <xdr:cNvPr id="64" name="Picture 63">
          <a:hlinkClick xmlns:r="http://schemas.openxmlformats.org/officeDocument/2006/relationships" r:id="rId17"/>
          <a:extLst>
            <a:ext uri="{FF2B5EF4-FFF2-40B4-BE49-F238E27FC236}">
              <a16:creationId xmlns:a16="http://schemas.microsoft.com/office/drawing/2014/main" id="{4707EA1B-4090-C86F-F1E7-3C458F12472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222632" y="7037917"/>
          <a:ext cx="402284" cy="474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 Lakshmi" refreshedDate="46017.981204166666" createdVersion="8" refreshedVersion="8" minRefreshableVersion="3" recordCount="8630" xr:uid="{C4742C67-78D4-4B22-9391-1D5A32179AF6}">
  <cacheSource type="worksheet">
    <worksheetSource name="Table1"/>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399239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30">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0E40C8-639D-4ED4-B5C1-200DBD094F8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2:D27" firstHeaderRow="1" firstDataRow="2" firstDataCol="1"/>
  <pivotFields count="13">
    <pivotField axis="axisCol" showAll="0">
      <items count="4">
        <item x="0"/>
        <item x="1"/>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x v="3"/>
    </i>
  </rowItems>
  <colFields count="1">
    <field x="0"/>
  </colFields>
  <colItems count="3">
    <i>
      <x/>
    </i>
    <i>
      <x v="1"/>
    </i>
    <i>
      <x v="2"/>
    </i>
  </colItems>
  <dataFields count="1">
    <dataField name="Sum of Sales" fld="11" baseField="0" baseItem="0" numFmtId="167"/>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dataOnly="0" labelOnly="1" outline="0" axis="axisValues"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2">
          <reference field="4294967294" count="1" selected="0">
            <x v="0"/>
          </reference>
          <reference field="0" count="1" selected="0">
            <x v="0"/>
          </reference>
        </references>
      </pivotArea>
    </chartFormat>
    <chartFormat chart="8"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2"/>
          </reference>
        </references>
      </pivotArea>
    </chartFormat>
    <chartFormat chart="8" format="9"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2D1B3-1E23-4364-9349-AA5FAC00031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99:B104" firstHeaderRow="1" firstDataRow="1" firstDataCol="1"/>
  <pivotFields count="13">
    <pivotField showAll="0">
      <items count="4">
        <item x="0"/>
        <item x="1"/>
        <item x="2"/>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x="3"/>
        <item x="1"/>
        <item x="0"/>
        <item x="4"/>
        <item t="default"/>
      </items>
    </pivotField>
    <pivotField showAll="0"/>
    <pivotField showAll="0"/>
    <pivotField showAll="0"/>
    <pivotField showAll="0"/>
  </pivotFields>
  <rowFields count="1">
    <field x="8"/>
  </rowFields>
  <rowItems count="5">
    <i>
      <x/>
    </i>
    <i>
      <x v="1"/>
    </i>
    <i>
      <x v="2"/>
    </i>
    <i>
      <x v="3"/>
    </i>
    <i>
      <x v="4"/>
    </i>
  </rowItems>
  <colItems count="1">
    <i/>
  </colItems>
  <dataFields count="1">
    <dataField name="Count of Sr No" fld="1" subtotal="count" baseField="8" baseItem="0" numFmtId="1"/>
  </dataFields>
  <formats count="20">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format>
    <format dxfId="23">
      <pivotArea type="topRight" dataOnly="0" labelOnly="1" outline="0" fieldPosition="0"/>
    </format>
    <format dxfId="22">
      <pivotArea field="6" type="button" dataOnly="0" labelOnly="1" outline="0"/>
    </format>
    <format dxfId="21">
      <pivotArea type="all" dataOnly="0" outline="0" fieldPosition="0"/>
    </format>
    <format dxfId="20">
      <pivotArea outline="0" collapsedLevelsAreSubtotals="1" fieldPosition="0"/>
    </format>
    <format dxfId="19">
      <pivotArea field="6"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E30586-7959-4E01-B72B-35ECF6E170F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5:B110"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Average of Sales" fld="11" subtotal="average" baseField="8" baseItem="1" numFmtId="169"/>
  </dataFields>
  <formats count="20">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format>
    <format dxfId="43">
      <pivotArea type="topRight" dataOnly="0" labelOnly="1" outline="0" fieldPosition="0"/>
    </format>
    <format dxfId="42">
      <pivotArea field="6" type="button" dataOnly="0" labelOnly="1" outline="0"/>
    </format>
    <format dxfId="41">
      <pivotArea type="all" dataOnly="0" outline="0" fieldPosition="0"/>
    </format>
    <format dxfId="40">
      <pivotArea outline="0" collapsedLevelsAreSubtotals="1" fieldPosition="0"/>
    </format>
    <format dxfId="39">
      <pivotArea field="6" type="button" dataOnly="0" labelOnly="1" outline="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0"/>
        </references>
      </pivotArea>
    </format>
    <format dxfId="3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E96E3B-42F6-481A-B573-756A2BCE3FB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4:B17"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14">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67059-B82B-4228-8BD1-D478851A32E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2:B97"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Sum of Sales" fld="11" baseField="0" baseItem="0" numFmtId="167"/>
  </dataFields>
  <formats count="16">
    <format dxfId="82">
      <pivotArea type="all" dataOnly="0" outline="0" fieldPosition="0"/>
    </format>
    <format dxfId="81">
      <pivotArea outline="0" collapsedLevelsAreSubtotals="1" fieldPosition="0"/>
    </format>
    <format dxfId="80">
      <pivotArea dataOnly="0" labelOnly="1" grandRow="1" outline="0" fieldPosition="0"/>
    </format>
    <format dxfId="79">
      <pivotArea dataOnly="0" labelOnly="1" outline="0" axis="axisValues"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0" type="button" dataOnly="0" labelOnly="1" outline="0"/>
    </format>
    <format dxfId="73">
      <pivotArea type="topRight" dataOnly="0" labelOnly="1" outline="0" fieldPosition="0"/>
    </format>
    <format dxfId="72">
      <pivotArea field="6" type="button" dataOnly="0" labelOnly="1" outline="0"/>
    </format>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D856D4-377D-446A-A96B-78B45B02EE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85">
      <pivotArea type="all" dataOnly="0" outline="0" fieldPosition="0"/>
    </format>
    <format dxfId="84">
      <pivotArea outline="0" collapsedLevelsAreSubtotals="1" fieldPosition="0"/>
    </format>
    <format dxfId="8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5A6B93-191B-44C4-8588-77BD6B35849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54:B64"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7"/>
  </dataFields>
  <formats count="16">
    <format dxfId="101">
      <pivotArea type="all" dataOnly="0" outline="0" fieldPosition="0"/>
    </format>
    <format dxfId="100">
      <pivotArea outline="0" collapsedLevelsAreSubtotals="1" fieldPosition="0"/>
    </format>
    <format dxfId="99">
      <pivotArea dataOnly="0" labelOnly="1" grandRow="1" outline="0" fieldPosition="0"/>
    </format>
    <format dxfId="98">
      <pivotArea dataOnly="0" labelOnly="1" outline="0" axis="axisValues"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0" type="button" dataOnly="0" labelOnly="1" outline="0"/>
    </format>
    <format dxfId="92">
      <pivotArea type="topRight" dataOnly="0" labelOnly="1" outline="0" fieldPosition="0"/>
    </format>
    <format dxfId="91">
      <pivotArea field="6" type="button" dataOnly="0" labelOnly="1" outline="0"/>
    </format>
    <format dxfId="90">
      <pivotArea type="all" dataOnly="0" outline="0" fieldPosition="0"/>
    </format>
    <format dxfId="89">
      <pivotArea outline="0" collapsedLevelsAreSubtotals="1" fieldPosition="0"/>
    </format>
    <format dxfId="88">
      <pivotArea field="4" type="button" dataOnly="0" labelOnly="1" outline="0" axis="axisRow" fieldPosition="0"/>
    </format>
    <format dxfId="87">
      <pivotArea dataOnly="0" labelOnly="1" fieldPosition="0">
        <references count="1">
          <reference field="4" count="0"/>
        </references>
      </pivotArea>
    </format>
    <format dxfId="86">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 chart="16" format="1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1B00C-0E33-4AAA-9560-1B6B9BBF3B9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0:B84"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numFmtId="167"/>
  </dataFields>
  <formats count="16">
    <format dxfId="117">
      <pivotArea type="all" dataOnly="0" outline="0" fieldPosition="0"/>
    </format>
    <format dxfId="116">
      <pivotArea outline="0" collapsedLevelsAreSubtotals="1" fieldPosition="0"/>
    </format>
    <format dxfId="115">
      <pivotArea dataOnly="0" labelOnly="1" grandRow="1" outline="0" fieldPosition="0"/>
    </format>
    <format dxfId="114">
      <pivotArea dataOnly="0" labelOnly="1" outline="0" axis="axisValues"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0" type="button" dataOnly="0" labelOnly="1" outline="0"/>
    </format>
    <format dxfId="108">
      <pivotArea type="topRight" dataOnly="0" labelOnly="1" outline="0" fieldPosition="0"/>
    </format>
    <format dxfId="107">
      <pivotArea field="6" type="button" dataOnly="0" labelOnly="1" outline="0" axis="axisRow" fieldPosition="0"/>
    </format>
    <format dxfId="106">
      <pivotArea type="all" dataOnly="0" outline="0" fieldPosition="0"/>
    </format>
    <format dxfId="105">
      <pivotArea outline="0" collapsedLevelsAreSubtotals="1" fieldPosition="0"/>
    </format>
    <format dxfId="104">
      <pivotArea field="6" type="button" dataOnly="0" labelOnly="1" outline="0" axis="axisRow" fieldPosition="0"/>
    </format>
    <format dxfId="103">
      <pivotArea dataOnly="0" labelOnly="1" fieldPosition="0">
        <references count="1">
          <reference field="6" count="0"/>
        </references>
      </pivotArea>
    </format>
    <format dxfId="10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1425E-5E2C-4964-A99F-C905AEA48E3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2:B49" firstHeaderRow="1" firstDataRow="1" firstDataCol="1"/>
  <pivotFields count="13">
    <pivotField showAll="0">
      <items count="4">
        <item x="0"/>
        <item x="1"/>
        <item x="2"/>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133">
      <pivotArea type="all" dataOnly="0" outline="0" fieldPosition="0"/>
    </format>
    <format dxfId="132">
      <pivotArea outline="0" collapsedLevelsAreSubtotals="1" fieldPosition="0"/>
    </format>
    <format dxfId="131">
      <pivotArea dataOnly="0" labelOnly="1" grandRow="1" outline="0" fieldPosition="0"/>
    </format>
    <format dxfId="130">
      <pivotArea dataOnly="0" labelOnly="1" outline="0" axis="axisValues"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0" type="button" dataOnly="0" labelOnly="1" outline="0"/>
    </format>
    <format dxfId="124">
      <pivotArea type="topRight" dataOnly="0" labelOnly="1" outline="0" fieldPosition="0"/>
    </format>
    <format dxfId="123">
      <pivotArea field="6" type="button" dataOnly="0" labelOnly="1" outline="0"/>
    </format>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fieldPosition="0">
        <references count="1">
          <reference field="3" count="0"/>
        </references>
      </pivotArea>
    </format>
    <format dxfId="11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E93A03-A4A9-48EE-B4F8-57F008B64E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69:B73"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numFmtId="167"/>
  </dataFields>
  <formats count="16">
    <format dxfId="149">
      <pivotArea type="all" dataOnly="0" outline="0" fieldPosition="0"/>
    </format>
    <format dxfId="148">
      <pivotArea outline="0" collapsedLevelsAreSubtotals="1" fieldPosition="0"/>
    </format>
    <format dxfId="147">
      <pivotArea dataOnly="0" labelOnly="1" grandRow="1" outline="0" fieldPosition="0"/>
    </format>
    <format dxfId="146">
      <pivotArea dataOnly="0" labelOnly="1" outline="0" axis="axisValues"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0" type="button" dataOnly="0" labelOnly="1" outline="0"/>
    </format>
    <format dxfId="140">
      <pivotArea type="topRight" dataOnly="0" labelOnly="1" outline="0" fieldPosition="0"/>
    </format>
    <format dxfId="139">
      <pivotArea field="6" type="button" dataOnly="0" labelOnly="1" outline="0"/>
    </format>
    <format dxfId="138">
      <pivotArea type="all" dataOnly="0" outline="0" fieldPosition="0"/>
    </format>
    <format dxfId="137">
      <pivotArea outline="0" collapsedLevelsAreSubtotals="1" fieldPosition="0"/>
    </format>
    <format dxfId="136">
      <pivotArea field="7" type="button" dataOnly="0" labelOnly="1" outline="0" axis="axisRow" fieldPosition="0"/>
    </format>
    <format dxfId="135">
      <pivotArea dataOnly="0" labelOnly="1" fieldPosition="0">
        <references count="1">
          <reference field="7" count="0"/>
        </references>
      </pivotArea>
    </format>
    <format dxfId="13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7" count="1" selected="0">
            <x v="0"/>
          </reference>
        </references>
      </pivotArea>
    </chartFormat>
    <chartFormat chart="21" format="8">
      <pivotArea type="data" outline="0" fieldPosition="0">
        <references count="2">
          <reference field="4294967294" count="1" selected="0">
            <x v="0"/>
          </reference>
          <reference field="7" count="1" selected="0">
            <x v="1"/>
          </reference>
        </references>
      </pivotArea>
    </chartFormat>
    <chartFormat chart="21" format="9">
      <pivotArea type="data" outline="0" fieldPosition="0">
        <references count="2">
          <reference field="4294967294" count="1" selected="0">
            <x v="0"/>
          </reference>
          <reference field="7" count="1" selected="0">
            <x v="2"/>
          </reference>
        </references>
      </pivotArea>
    </chartFormat>
    <chartFormat chart="21" format="10">
      <pivotArea type="data" outline="0" fieldPosition="0">
        <references count="2">
          <reference field="4294967294" count="1" selected="0">
            <x v="0"/>
          </reference>
          <reference field="7" count="1" selected="0">
            <x v="3"/>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 chart="19"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1DC57C1-BAD1-4443-AF91-F3A30940EA2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399239548">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C65D4DA-3662-4A86-A089-AEF5E292E9DE}" sourceName="Outlet Location Type">
  <pivotTables>
    <pivotTable tabId="2" name="PivotTable2"/>
    <pivotTable tabId="2" name="PivotTable1"/>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99239548">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A47DB98-1434-4384-9633-869447A33011}" sourceName="Item Type">
  <pivotTables>
    <pivotTable tabId="2" name="PivotTable2"/>
    <pivotTable tabId="2" name="PivotTable1"/>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99239548">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2C9BE3B-AC40-4434-8185-204FD824884F}" cache="Slicer_Outlet_Size" caption="Outlet Size" style="Blinkit Analysis" rowHeight="262466"/>
  <slicer name="Outlet Location Type 1" xr10:uid="{05D8D749-27A7-49D1-BC1A-B54659A42E36}" cache="Slicer_Outlet_Location_Type" caption="Outlet Location " style="Blinkit Analysis" rowHeight="262466"/>
  <slicer name="Item Type 1" xr10:uid="{5C4C35C4-81AB-43C2-BB80-4EBCDB558905}"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631">
  <autoFilter ref="A1:M8631" xr:uid="{52550E18-70A7-4097-88D2-EE317005B8D9}"/>
  <tableColumns count="13">
    <tableColumn id="1" xr3:uid="{22B530B0-CC0D-4E41-BE96-25D3885D6250}" name="Item Fat Content" totalsRowLabel="Total"/>
    <tableColumn id="14" xr3:uid="{18D1E07E-FD95-4E8A-83B5-4C0D161E5F0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E282-63C3-4B0A-8EBC-6C539E2C1760}">
  <dimension ref="A2:I110"/>
  <sheetViews>
    <sheetView workbookViewId="0">
      <selection activeCell="K8" sqref="K8"/>
    </sheetView>
  </sheetViews>
  <sheetFormatPr defaultRowHeight="15.5" x14ac:dyDescent="0.35"/>
  <cols>
    <col min="1" max="1" width="11.75" customWidth="1"/>
    <col min="2" max="2" width="12.58203125" customWidth="1"/>
    <col min="3" max="3" width="15.6640625" customWidth="1"/>
    <col min="4" max="4" width="15.75" customWidth="1"/>
    <col min="5" max="5" width="10.58203125" bestFit="1" customWidth="1"/>
  </cols>
  <sheetData>
    <row r="2" spans="1:7" ht="17" thickBot="1" x14ac:dyDescent="0.5">
      <c r="A2" s="44" t="s">
        <v>1616</v>
      </c>
      <c r="B2" s="43"/>
      <c r="C2" s="43"/>
      <c r="D2" s="43"/>
    </row>
    <row r="3" spans="1:7" ht="16" thickBot="1" x14ac:dyDescent="0.4">
      <c r="A3" s="10" t="s">
        <v>1609</v>
      </c>
      <c r="B3" s="11" t="s">
        <v>1610</v>
      </c>
      <c r="C3" s="11" t="s">
        <v>1612</v>
      </c>
      <c r="D3" s="12" t="s">
        <v>1613</v>
      </c>
    </row>
    <row r="4" spans="1:7" ht="16" thickBot="1" x14ac:dyDescent="0.4">
      <c r="A4" s="10">
        <v>1201681.4928000034</v>
      </c>
      <c r="B4" s="11">
        <v>140.99278338613203</v>
      </c>
      <c r="C4" s="11">
        <v>8523</v>
      </c>
      <c r="D4" s="12">
        <v>3.9658570925731196</v>
      </c>
    </row>
    <row r="5" spans="1:7" x14ac:dyDescent="0.35">
      <c r="A5" s="4"/>
      <c r="D5" s="5"/>
    </row>
    <row r="6" spans="1:7" x14ac:dyDescent="0.35">
      <c r="A6" s="4"/>
      <c r="D6" s="5"/>
    </row>
    <row r="7" spans="1:7" x14ac:dyDescent="0.35">
      <c r="A7" s="4"/>
      <c r="D7" s="5"/>
    </row>
    <row r="8" spans="1:7" x14ac:dyDescent="0.35">
      <c r="A8" s="4"/>
      <c r="D8" s="5"/>
    </row>
    <row r="9" spans="1:7" x14ac:dyDescent="0.35">
      <c r="A9" s="4" t="s">
        <v>1614</v>
      </c>
      <c r="B9" t="s">
        <v>1610</v>
      </c>
      <c r="C9" t="s">
        <v>1612</v>
      </c>
      <c r="D9" s="5" t="s">
        <v>1615</v>
      </c>
    </row>
    <row r="10" spans="1:7" ht="16" thickBot="1" x14ac:dyDescent="0.4">
      <c r="A10" s="13">
        <f>GETPIVOTDATA("Sum of Sales",$A$3)</f>
        <v>1201681.4928000034</v>
      </c>
      <c r="B10" s="8">
        <f>GETPIVOTDATA("Average Sales",$A$3)</f>
        <v>140.99278338613203</v>
      </c>
      <c r="C10" s="6">
        <f>GETPIVOTDATA("Number of Items",$A$3)</f>
        <v>8523</v>
      </c>
      <c r="D10" s="9">
        <f>GETPIVOTDATA("Average of Rating",$A$3)</f>
        <v>3.9658570925731196</v>
      </c>
    </row>
    <row r="11" spans="1:7" ht="16" thickBot="1" x14ac:dyDescent="0.4"/>
    <row r="12" spans="1:7" ht="16" thickBot="1" x14ac:dyDescent="0.4">
      <c r="A12" s="1"/>
      <c r="B12" s="2"/>
      <c r="C12" s="2"/>
      <c r="D12" s="3"/>
      <c r="E12" s="3"/>
      <c r="F12" s="3"/>
      <c r="G12" s="3"/>
    </row>
    <row r="13" spans="1:7" ht="17" thickBot="1" x14ac:dyDescent="0.5">
      <c r="A13" s="40" t="s">
        <v>1620</v>
      </c>
      <c r="B13" s="41"/>
      <c r="C13" s="41"/>
      <c r="D13" s="42"/>
      <c r="E13" s="5"/>
      <c r="F13" s="5"/>
      <c r="G13" s="5"/>
    </row>
    <row r="14" spans="1:7" ht="16" thickBot="1" x14ac:dyDescent="0.4">
      <c r="A14" s="15" t="s">
        <v>1618</v>
      </c>
      <c r="B14" s="17" t="s">
        <v>1609</v>
      </c>
      <c r="D14" s="5"/>
      <c r="E14" s="5"/>
      <c r="F14" s="5"/>
      <c r="G14" s="5"/>
    </row>
    <row r="15" spans="1:7" x14ac:dyDescent="0.35">
      <c r="A15" s="16" t="s">
        <v>17</v>
      </c>
      <c r="B15" s="18">
        <v>776319.68840000057</v>
      </c>
      <c r="D15" s="5"/>
      <c r="E15" s="5"/>
      <c r="F15" s="5"/>
      <c r="G15" s="5"/>
    </row>
    <row r="16" spans="1:7" x14ac:dyDescent="0.35">
      <c r="A16" s="30" t="s">
        <v>10</v>
      </c>
      <c r="B16" s="19">
        <v>425361.8043999995</v>
      </c>
      <c r="D16" s="5"/>
      <c r="E16" s="5"/>
      <c r="F16" s="5"/>
      <c r="G16" s="5"/>
    </row>
    <row r="17" spans="1:8" ht="16" thickBot="1" x14ac:dyDescent="0.4">
      <c r="A17" s="14" t="s">
        <v>1619</v>
      </c>
      <c r="B17" s="20"/>
      <c r="D17" s="5"/>
      <c r="E17" s="5"/>
      <c r="F17" s="5"/>
      <c r="G17" s="5"/>
    </row>
    <row r="18" spans="1:8" ht="16" thickBot="1" x14ac:dyDescent="0.4">
      <c r="A18" s="4"/>
      <c r="C18" s="6"/>
      <c r="D18" s="7"/>
      <c r="E18" s="5"/>
      <c r="F18" s="5"/>
      <c r="G18" s="5"/>
    </row>
    <row r="19" spans="1:8" ht="16" thickBot="1" x14ac:dyDescent="0.4">
      <c r="A19" s="29"/>
      <c r="B19" s="6"/>
      <c r="C19" s="6"/>
      <c r="D19" s="6"/>
      <c r="E19" s="7"/>
      <c r="F19" s="7"/>
      <c r="G19" s="7"/>
    </row>
    <row r="20" spans="1:8" ht="16" thickBot="1" x14ac:dyDescent="0.4"/>
    <row r="21" spans="1:8" ht="17" thickBot="1" x14ac:dyDescent="0.5">
      <c r="A21" s="40" t="s">
        <v>1623</v>
      </c>
      <c r="B21" s="41"/>
      <c r="C21" s="41"/>
      <c r="D21" s="42"/>
      <c r="E21" s="2"/>
      <c r="F21" s="2"/>
      <c r="G21" s="2"/>
      <c r="H21" s="3"/>
    </row>
    <row r="22" spans="1:8" ht="16" thickBot="1" x14ac:dyDescent="0.4">
      <c r="A22" s="15" t="s">
        <v>1609</v>
      </c>
      <c r="B22" s="15" t="s">
        <v>1622</v>
      </c>
      <c r="C22" s="10"/>
      <c r="D22" s="12"/>
      <c r="H22" s="5"/>
    </row>
    <row r="23" spans="1:8" ht="16" thickBot="1" x14ac:dyDescent="0.4">
      <c r="A23" s="15" t="s">
        <v>1618</v>
      </c>
      <c r="B23" s="10" t="s">
        <v>10</v>
      </c>
      <c r="C23" s="11" t="s">
        <v>17</v>
      </c>
      <c r="D23" s="12" t="s">
        <v>1619</v>
      </c>
      <c r="H23" s="5"/>
    </row>
    <row r="24" spans="1:8" x14ac:dyDescent="0.35">
      <c r="A24" s="16" t="s">
        <v>14</v>
      </c>
      <c r="B24" s="24">
        <v>121349.89940000001</v>
      </c>
      <c r="C24" s="25">
        <v>215047.9126000001</v>
      </c>
      <c r="D24" s="26"/>
      <c r="H24" s="5"/>
    </row>
    <row r="25" spans="1:8" x14ac:dyDescent="0.35">
      <c r="A25" s="30" t="s">
        <v>34</v>
      </c>
      <c r="B25" s="27">
        <v>138685.86819999994</v>
      </c>
      <c r="C25" s="39">
        <v>254464.77940000014</v>
      </c>
      <c r="D25" s="21"/>
      <c r="H25" s="5"/>
    </row>
    <row r="26" spans="1:8" x14ac:dyDescent="0.35">
      <c r="A26" s="30" t="s">
        <v>21</v>
      </c>
      <c r="B26" s="27">
        <v>165326.0368</v>
      </c>
      <c r="C26" s="39">
        <v>306806.99640000012</v>
      </c>
      <c r="D26" s="21"/>
      <c r="H26" s="5"/>
    </row>
    <row r="27" spans="1:8" ht="16" thickBot="1" x14ac:dyDescent="0.4">
      <c r="A27" s="14" t="s">
        <v>1619</v>
      </c>
      <c r="B27" s="28"/>
      <c r="C27" s="23"/>
      <c r="D27" s="22"/>
      <c r="H27" s="5"/>
    </row>
    <row r="28" spans="1:8" ht="16" thickBot="1" x14ac:dyDescent="0.4">
      <c r="A28" s="29"/>
      <c r="B28" s="6"/>
      <c r="C28" s="6"/>
      <c r="D28" s="6"/>
      <c r="E28" s="6"/>
      <c r="F28" s="6"/>
      <c r="G28" s="6"/>
      <c r="H28" s="7"/>
    </row>
    <row r="30" spans="1:8" ht="16" thickBot="1" x14ac:dyDescent="0.4"/>
    <row r="31" spans="1:8" ht="17" thickBot="1" x14ac:dyDescent="0.5">
      <c r="A31" s="40" t="s">
        <v>1621</v>
      </c>
      <c r="B31" s="41"/>
      <c r="C31" s="41"/>
      <c r="D31" s="41"/>
      <c r="E31" s="41"/>
      <c r="F31" s="41"/>
      <c r="G31" s="41"/>
      <c r="H31" s="42"/>
    </row>
    <row r="32" spans="1:8" ht="16" thickBot="1" x14ac:dyDescent="0.4">
      <c r="A32" s="15" t="s">
        <v>1618</v>
      </c>
      <c r="B32" s="17" t="s">
        <v>1609</v>
      </c>
      <c r="H32" s="5"/>
    </row>
    <row r="33" spans="1:8" x14ac:dyDescent="0.35">
      <c r="A33" s="30" t="s">
        <v>1619</v>
      </c>
      <c r="B33" s="18"/>
      <c r="H33" s="5"/>
    </row>
    <row r="34" spans="1:8" x14ac:dyDescent="0.35">
      <c r="A34" s="30" t="s">
        <v>152</v>
      </c>
      <c r="B34" s="19">
        <v>9077.869999999999</v>
      </c>
      <c r="H34" s="5"/>
    </row>
    <row r="35" spans="1:8" x14ac:dyDescent="0.35">
      <c r="A35" s="30" t="s">
        <v>73</v>
      </c>
      <c r="B35" s="19">
        <v>15596.696600000001</v>
      </c>
      <c r="H35" s="5"/>
    </row>
    <row r="36" spans="1:8" x14ac:dyDescent="0.35">
      <c r="A36" s="30" t="s">
        <v>158</v>
      </c>
      <c r="B36" s="19">
        <v>21880.027399999992</v>
      </c>
      <c r="H36" s="5"/>
    </row>
    <row r="37" spans="1:8" x14ac:dyDescent="0.35">
      <c r="A37" s="30" t="s">
        <v>63</v>
      </c>
      <c r="B37" s="19">
        <v>22451.891599999999</v>
      </c>
      <c r="H37" s="5"/>
    </row>
    <row r="38" spans="1:8" x14ac:dyDescent="0.35">
      <c r="A38" s="30" t="s">
        <v>60</v>
      </c>
      <c r="B38" s="19">
        <v>29334.680599999996</v>
      </c>
      <c r="H38" s="5"/>
    </row>
    <row r="39" spans="1:8" x14ac:dyDescent="0.35">
      <c r="A39" s="30" t="s">
        <v>56</v>
      </c>
      <c r="B39" s="19">
        <v>35379.119800000015</v>
      </c>
      <c r="H39" s="5"/>
    </row>
    <row r="40" spans="1:8" x14ac:dyDescent="0.35">
      <c r="A40" s="30" t="s">
        <v>32</v>
      </c>
      <c r="B40" s="19">
        <v>58514.166999999987</v>
      </c>
      <c r="H40" s="5"/>
    </row>
    <row r="41" spans="1:8" x14ac:dyDescent="0.35">
      <c r="A41" s="30" t="s">
        <v>53</v>
      </c>
      <c r="B41" s="19">
        <v>59449.863799999992</v>
      </c>
      <c r="H41" s="5"/>
    </row>
    <row r="42" spans="1:8" x14ac:dyDescent="0.35">
      <c r="A42" s="30" t="s">
        <v>19</v>
      </c>
      <c r="B42" s="19">
        <v>68025.838800000012</v>
      </c>
      <c r="H42" s="5"/>
    </row>
    <row r="43" spans="1:8" x14ac:dyDescent="0.35">
      <c r="A43" s="30" t="s">
        <v>94</v>
      </c>
      <c r="B43" s="19">
        <v>81894.736400000009</v>
      </c>
      <c r="H43" s="5"/>
    </row>
    <row r="44" spans="1:8" x14ac:dyDescent="0.35">
      <c r="A44" s="30" t="s">
        <v>28</v>
      </c>
      <c r="B44" s="19">
        <v>90706.728999999992</v>
      </c>
      <c r="H44" s="5"/>
    </row>
    <row r="45" spans="1:8" x14ac:dyDescent="0.35">
      <c r="A45" s="30" t="s">
        <v>66</v>
      </c>
      <c r="B45" s="19">
        <v>101276.46159999995</v>
      </c>
      <c r="H45" s="5"/>
    </row>
    <row r="46" spans="1:8" x14ac:dyDescent="0.35">
      <c r="A46" s="30" t="s">
        <v>24</v>
      </c>
      <c r="B46" s="19">
        <v>118558.88140000009</v>
      </c>
      <c r="H46" s="5"/>
    </row>
    <row r="47" spans="1:8" x14ac:dyDescent="0.35">
      <c r="A47" s="30" t="s">
        <v>41</v>
      </c>
      <c r="B47" s="19">
        <v>135976.52539999998</v>
      </c>
      <c r="H47" s="5"/>
    </row>
    <row r="48" spans="1:8" x14ac:dyDescent="0.35">
      <c r="A48" s="30" t="s">
        <v>47</v>
      </c>
      <c r="B48" s="19">
        <v>175433.92240000021</v>
      </c>
      <c r="H48" s="5"/>
    </row>
    <row r="49" spans="1:9" ht="16" thickBot="1" x14ac:dyDescent="0.4">
      <c r="A49" s="14" t="s">
        <v>12</v>
      </c>
      <c r="B49" s="20">
        <v>178124.08099999995</v>
      </c>
      <c r="C49" s="6"/>
      <c r="D49" s="6"/>
      <c r="E49" s="6"/>
      <c r="F49" s="6"/>
      <c r="G49" s="6"/>
      <c r="H49" s="7"/>
    </row>
    <row r="52" spans="1:9" ht="16" thickBot="1" x14ac:dyDescent="0.4"/>
    <row r="53" spans="1:9" ht="17" thickBot="1" x14ac:dyDescent="0.5">
      <c r="A53" s="40" t="s">
        <v>1624</v>
      </c>
      <c r="B53" s="41"/>
      <c r="C53" s="41"/>
      <c r="D53" s="41"/>
      <c r="E53" s="41"/>
      <c r="F53" s="41"/>
      <c r="G53" s="41"/>
      <c r="H53" s="42"/>
      <c r="I53" s="31"/>
    </row>
    <row r="54" spans="1:9" ht="16" thickBot="1" x14ac:dyDescent="0.4">
      <c r="A54" s="15" t="s">
        <v>1618</v>
      </c>
      <c r="B54" s="17" t="s">
        <v>1609</v>
      </c>
      <c r="I54" s="5"/>
    </row>
    <row r="55" spans="1:9" x14ac:dyDescent="0.35">
      <c r="A55" s="30">
        <v>2011</v>
      </c>
      <c r="B55" s="18">
        <v>78131.566599999976</v>
      </c>
      <c r="I55" s="5"/>
    </row>
    <row r="56" spans="1:9" x14ac:dyDescent="0.35">
      <c r="A56" s="30">
        <v>2012</v>
      </c>
      <c r="B56" s="19">
        <v>130476.85979999998</v>
      </c>
      <c r="I56" s="5"/>
    </row>
    <row r="57" spans="1:9" x14ac:dyDescent="0.35">
      <c r="A57" s="30">
        <v>2014</v>
      </c>
      <c r="B57" s="19">
        <v>131809.01560000007</v>
      </c>
      <c r="I57" s="5"/>
    </row>
    <row r="58" spans="1:9" x14ac:dyDescent="0.35">
      <c r="A58" s="30">
        <v>2015</v>
      </c>
      <c r="B58" s="19">
        <v>130942.78019999999</v>
      </c>
      <c r="I58" s="5"/>
    </row>
    <row r="59" spans="1:9" x14ac:dyDescent="0.35">
      <c r="A59" s="30">
        <v>2016</v>
      </c>
      <c r="B59" s="19">
        <v>132113.36980000007</v>
      </c>
      <c r="I59" s="5"/>
    </row>
    <row r="60" spans="1:9" x14ac:dyDescent="0.35">
      <c r="A60" s="30">
        <v>2017</v>
      </c>
      <c r="B60" s="19">
        <v>133103.90699999989</v>
      </c>
      <c r="I60" s="5"/>
    </row>
    <row r="61" spans="1:9" x14ac:dyDescent="0.35">
      <c r="A61" s="30">
        <v>2018</v>
      </c>
      <c r="B61" s="19">
        <v>204522.25700000025</v>
      </c>
      <c r="I61" s="5"/>
    </row>
    <row r="62" spans="1:9" x14ac:dyDescent="0.35">
      <c r="A62" s="30">
        <v>2020</v>
      </c>
      <c r="B62" s="19">
        <v>129103.96039999987</v>
      </c>
      <c r="I62" s="5"/>
    </row>
    <row r="63" spans="1:9" x14ac:dyDescent="0.35">
      <c r="A63" s="30">
        <v>2022</v>
      </c>
      <c r="B63" s="19">
        <v>131477.77639999994</v>
      </c>
      <c r="I63" s="5"/>
    </row>
    <row r="64" spans="1:9" ht="16" thickBot="1" x14ac:dyDescent="0.4">
      <c r="A64" s="14" t="s">
        <v>1619</v>
      </c>
      <c r="B64" s="20"/>
      <c r="C64" s="6"/>
      <c r="D64" s="6"/>
      <c r="E64" s="6"/>
      <c r="F64" s="6"/>
      <c r="G64" s="6"/>
      <c r="H64" s="6"/>
      <c r="I64" s="7"/>
    </row>
    <row r="67" spans="1:9" ht="16" thickBot="1" x14ac:dyDescent="0.4"/>
    <row r="68" spans="1:9" ht="17" thickBot="1" x14ac:dyDescent="0.5">
      <c r="A68" s="40" t="s">
        <v>1625</v>
      </c>
      <c r="B68" s="41"/>
      <c r="C68" s="41"/>
      <c r="D68" s="41"/>
      <c r="E68" s="41"/>
      <c r="F68" s="42"/>
    </row>
    <row r="69" spans="1:9" ht="16" thickBot="1" x14ac:dyDescent="0.4">
      <c r="A69" s="15" t="s">
        <v>1618</v>
      </c>
      <c r="B69" s="17" t="s">
        <v>1609</v>
      </c>
      <c r="F69" s="5"/>
    </row>
    <row r="70" spans="1:9" x14ac:dyDescent="0.35">
      <c r="A70" s="30" t="s">
        <v>30</v>
      </c>
      <c r="B70" s="18">
        <v>248991.58600000024</v>
      </c>
      <c r="F70" s="5"/>
    </row>
    <row r="71" spans="1:9" x14ac:dyDescent="0.35">
      <c r="A71" s="30" t="s">
        <v>15</v>
      </c>
      <c r="B71" s="19">
        <v>507895.7363999993</v>
      </c>
      <c r="F71" s="5"/>
    </row>
    <row r="72" spans="1:9" x14ac:dyDescent="0.35">
      <c r="A72" s="30" t="s">
        <v>26</v>
      </c>
      <c r="B72" s="19">
        <v>444794.17039999936</v>
      </c>
      <c r="F72" s="5"/>
    </row>
    <row r="73" spans="1:9" ht="16" thickBot="1" x14ac:dyDescent="0.4">
      <c r="A73" s="14" t="s">
        <v>1619</v>
      </c>
      <c r="B73" s="20"/>
      <c r="F73" s="5"/>
    </row>
    <row r="74" spans="1:9" x14ac:dyDescent="0.35">
      <c r="A74" s="4"/>
      <c r="F74" s="5"/>
    </row>
    <row r="75" spans="1:9" ht="16" thickBot="1" x14ac:dyDescent="0.4">
      <c r="A75" s="29"/>
      <c r="B75" s="6"/>
      <c r="C75" s="6"/>
      <c r="D75" s="6"/>
      <c r="E75" s="6"/>
      <c r="F75" s="7"/>
    </row>
    <row r="78" spans="1:9" ht="16" thickBot="1" x14ac:dyDescent="0.4"/>
    <row r="79" spans="1:9" ht="17" thickBot="1" x14ac:dyDescent="0.5">
      <c r="A79" s="40" t="s">
        <v>1627</v>
      </c>
      <c r="B79" s="41"/>
      <c r="C79" s="41"/>
      <c r="D79" s="41"/>
      <c r="E79" s="41"/>
      <c r="F79" s="42"/>
      <c r="G79" s="40"/>
      <c r="H79" s="41"/>
      <c r="I79" s="42"/>
    </row>
    <row r="80" spans="1:9" ht="16" thickBot="1" x14ac:dyDescent="0.4">
      <c r="A80" s="15" t="s">
        <v>1618</v>
      </c>
      <c r="B80" s="17" t="s">
        <v>1609</v>
      </c>
      <c r="D80" t="s">
        <v>1626</v>
      </c>
      <c r="E80" t="s">
        <v>1607</v>
      </c>
      <c r="I80" s="5"/>
    </row>
    <row r="81" spans="1:9" x14ac:dyDescent="0.35">
      <c r="A81" s="30" t="s">
        <v>21</v>
      </c>
      <c r="B81" s="18">
        <v>472133.03319999954</v>
      </c>
      <c r="D81" t="str">
        <f>A81</f>
        <v>Tier 3</v>
      </c>
      <c r="E81" s="32">
        <f>GETPIVOTDATA("Sales",$A$80,"Outlet Location Type",A81)</f>
        <v>472133.03319999954</v>
      </c>
      <c r="I81" s="5"/>
    </row>
    <row r="82" spans="1:9" x14ac:dyDescent="0.35">
      <c r="A82" s="30" t="s">
        <v>34</v>
      </c>
      <c r="B82" s="19">
        <v>393150.64759999956</v>
      </c>
      <c r="D82" t="str">
        <f>A82</f>
        <v>Tier 2</v>
      </c>
      <c r="E82" s="32">
        <f>GETPIVOTDATA("Sales",$A$80,"Outlet Location Type",A82)</f>
        <v>393150.64759999956</v>
      </c>
      <c r="I82" s="5"/>
    </row>
    <row r="83" spans="1:9" x14ac:dyDescent="0.35">
      <c r="A83" s="30" t="s">
        <v>14</v>
      </c>
      <c r="B83" s="19">
        <v>336397.81199999945</v>
      </c>
      <c r="D83" t="str">
        <f>A83</f>
        <v>Tier 1</v>
      </c>
      <c r="E83" s="32">
        <f>GETPIVOTDATA("Sales",$A$80,"Outlet Location Type",A83)</f>
        <v>336397.81199999945</v>
      </c>
      <c r="I83" s="5"/>
    </row>
    <row r="84" spans="1:9" ht="16" thickBot="1" x14ac:dyDescent="0.4">
      <c r="A84" s="14" t="s">
        <v>1619</v>
      </c>
      <c r="B84" s="20"/>
      <c r="I84" s="5"/>
    </row>
    <row r="85" spans="1:9" x14ac:dyDescent="0.35">
      <c r="A85" s="4"/>
      <c r="I85" s="5"/>
    </row>
    <row r="86" spans="1:9" x14ac:dyDescent="0.35">
      <c r="A86" s="4"/>
      <c r="I86" s="5"/>
    </row>
    <row r="87" spans="1:9" ht="16" thickBot="1" x14ac:dyDescent="0.4">
      <c r="A87" s="29"/>
      <c r="B87" s="6"/>
      <c r="C87" s="6"/>
      <c r="D87" s="6"/>
      <c r="E87" s="6"/>
      <c r="F87" s="6"/>
      <c r="G87" s="6"/>
      <c r="H87" s="6"/>
      <c r="I87" s="7"/>
    </row>
    <row r="90" spans="1:9" ht="16" thickBot="1" x14ac:dyDescent="0.4"/>
    <row r="91" spans="1:9" ht="17" thickBot="1" x14ac:dyDescent="0.5">
      <c r="A91" s="40" t="s">
        <v>1630</v>
      </c>
      <c r="B91" s="41"/>
      <c r="C91" s="41"/>
      <c r="D91" s="41"/>
      <c r="E91" s="41"/>
      <c r="F91" s="42"/>
    </row>
    <row r="92" spans="1:9" ht="16" thickBot="1" x14ac:dyDescent="0.4">
      <c r="A92" s="15" t="s">
        <v>1618</v>
      </c>
      <c r="B92" s="17" t="s">
        <v>1609</v>
      </c>
      <c r="F92" s="5"/>
    </row>
    <row r="93" spans="1:9" x14ac:dyDescent="0.35">
      <c r="A93" s="30" t="s">
        <v>39</v>
      </c>
      <c r="B93" s="18">
        <v>151939.149</v>
      </c>
      <c r="F93" s="5"/>
    </row>
    <row r="94" spans="1:9" x14ac:dyDescent="0.35">
      <c r="A94" s="30" t="s">
        <v>45</v>
      </c>
      <c r="B94" s="19">
        <v>130714.67460000006</v>
      </c>
      <c r="F94" s="5"/>
    </row>
    <row r="95" spans="1:9" x14ac:dyDescent="0.35">
      <c r="A95" s="30" t="s">
        <v>22</v>
      </c>
      <c r="B95" s="19">
        <v>131477.77639999994</v>
      </c>
      <c r="F95" s="5"/>
    </row>
    <row r="96" spans="1:9" x14ac:dyDescent="0.35">
      <c r="A96" s="30" t="s">
        <v>16</v>
      </c>
      <c r="B96" s="19">
        <v>787549.89280000131</v>
      </c>
      <c r="F96" s="5"/>
    </row>
    <row r="97" spans="1:6" ht="16" thickBot="1" x14ac:dyDescent="0.4">
      <c r="A97" s="14" t="s">
        <v>1619</v>
      </c>
      <c r="B97" s="20"/>
      <c r="F97" s="5"/>
    </row>
    <row r="98" spans="1:6" ht="16" thickBot="1" x14ac:dyDescent="0.4">
      <c r="A98" s="4"/>
      <c r="F98" s="5"/>
    </row>
    <row r="99" spans="1:6" ht="16" thickBot="1" x14ac:dyDescent="0.4">
      <c r="A99" s="15" t="s">
        <v>1618</v>
      </c>
      <c r="B99" s="17" t="s">
        <v>1629</v>
      </c>
      <c r="F99" s="5"/>
    </row>
    <row r="100" spans="1:6" x14ac:dyDescent="0.35">
      <c r="A100" s="30" t="s">
        <v>39</v>
      </c>
      <c r="B100" s="36">
        <v>1083</v>
      </c>
      <c r="F100" s="5"/>
    </row>
    <row r="101" spans="1:6" x14ac:dyDescent="0.35">
      <c r="A101" s="30" t="s">
        <v>45</v>
      </c>
      <c r="B101" s="37">
        <v>935</v>
      </c>
      <c r="F101" s="5"/>
    </row>
    <row r="102" spans="1:6" x14ac:dyDescent="0.35">
      <c r="A102" s="30" t="s">
        <v>22</v>
      </c>
      <c r="B102" s="37">
        <v>928</v>
      </c>
      <c r="F102" s="5"/>
    </row>
    <row r="103" spans="1:6" x14ac:dyDescent="0.35">
      <c r="A103" s="30" t="s">
        <v>16</v>
      </c>
      <c r="B103" s="37">
        <v>5577</v>
      </c>
      <c r="F103" s="5"/>
    </row>
    <row r="104" spans="1:6" ht="16" thickBot="1" x14ac:dyDescent="0.4">
      <c r="A104" s="14" t="s">
        <v>1619</v>
      </c>
      <c r="B104" s="38"/>
      <c r="F104" s="5"/>
    </row>
    <row r="105" spans="1:6" ht="16" thickBot="1" x14ac:dyDescent="0.4">
      <c r="A105" s="15" t="s">
        <v>1618</v>
      </c>
      <c r="B105" s="17" t="s">
        <v>1628</v>
      </c>
      <c r="F105" s="5"/>
    </row>
    <row r="106" spans="1:6" x14ac:dyDescent="0.35">
      <c r="A106" s="30" t="s">
        <v>39</v>
      </c>
      <c r="B106" s="33">
        <v>140.29468975069253</v>
      </c>
      <c r="F106" s="5"/>
    </row>
    <row r="107" spans="1:6" x14ac:dyDescent="0.35">
      <c r="A107" s="30" t="s">
        <v>45</v>
      </c>
      <c r="B107" s="34">
        <v>139.80179101604284</v>
      </c>
      <c r="F107" s="5"/>
    </row>
    <row r="108" spans="1:6" x14ac:dyDescent="0.35">
      <c r="A108" s="30" t="s">
        <v>22</v>
      </c>
      <c r="B108" s="34">
        <v>141.67863836206891</v>
      </c>
      <c r="F108" s="5"/>
    </row>
    <row r="109" spans="1:6" x14ac:dyDescent="0.35">
      <c r="A109" s="30" t="s">
        <v>16</v>
      </c>
      <c r="B109" s="34">
        <v>141.21389506903375</v>
      </c>
      <c r="F109" s="5"/>
    </row>
    <row r="110" spans="1:6" ht="16" thickBot="1" x14ac:dyDescent="0.4">
      <c r="A110" s="14" t="s">
        <v>1619</v>
      </c>
      <c r="B110" s="35"/>
      <c r="C110" s="6"/>
      <c r="D110" s="6"/>
      <c r="E110" s="6"/>
      <c r="F110" s="7"/>
    </row>
  </sheetData>
  <mergeCells count="9">
    <mergeCell ref="A2:D2"/>
    <mergeCell ref="A13:D13"/>
    <mergeCell ref="A21:D21"/>
    <mergeCell ref="A53:H53"/>
    <mergeCell ref="A68:F68"/>
    <mergeCell ref="A79:F79"/>
    <mergeCell ref="G79:I79"/>
    <mergeCell ref="A91:F91"/>
    <mergeCell ref="A31:H31"/>
  </mergeCell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A9B8-FDB7-4A48-8DFD-08293DAB6B91}">
  <dimension ref="S16:T27"/>
  <sheetViews>
    <sheetView showGridLines="0" tabSelected="1" zoomScale="60" zoomScaleNormal="60" workbookViewId="0">
      <selection activeCell="AB21" sqref="AB21"/>
    </sheetView>
  </sheetViews>
  <sheetFormatPr defaultRowHeight="15.5" x14ac:dyDescent="0.35"/>
  <sheetData>
    <row r="16" spans="19:19" x14ac:dyDescent="0.35">
      <c r="S16" t="s">
        <v>1617</v>
      </c>
    </row>
    <row r="27" spans="20:20" x14ac:dyDescent="0.35">
      <c r="T27" t="s">
        <v>1617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A2" sqref="A2"/>
    </sheetView>
  </sheetViews>
  <sheetFormatPr defaultRowHeight="15.5" x14ac:dyDescent="0.35"/>
  <cols>
    <col min="1" max="3" width="17.08203125" customWidth="1"/>
    <col min="4" max="4" width="15" customWidth="1"/>
    <col min="5" max="5" width="18.6640625" bestFit="1" customWidth="1"/>
    <col min="6" max="6" width="26" customWidth="1"/>
    <col min="7" max="7" width="16.58203125" customWidth="1"/>
    <col min="8" max="8" width="20.6640625" customWidth="1"/>
    <col min="9" max="9" width="12" customWidth="1"/>
    <col min="10" max="10" width="19.9140625" customWidth="1"/>
    <col min="11" max="11" width="14.4140625" customWidth="1"/>
    <col min="12" max="12" width="13.4140625" customWidth="1"/>
    <col min="13" max="13" width="11.9140625" customWidth="1"/>
  </cols>
  <sheetData>
    <row r="1" spans="1:13" x14ac:dyDescent="0.35">
      <c r="A1" t="s">
        <v>0</v>
      </c>
      <c r="B1" t="s">
        <v>1611</v>
      </c>
      <c r="C1" t="s">
        <v>1</v>
      </c>
      <c r="D1" t="s">
        <v>2</v>
      </c>
      <c r="E1" t="s">
        <v>1608</v>
      </c>
      <c r="F1" t="s">
        <v>3</v>
      </c>
      <c r="G1" t="s">
        <v>4</v>
      </c>
      <c r="H1" t="s">
        <v>5</v>
      </c>
      <c r="I1" t="s">
        <v>6</v>
      </c>
      <c r="J1" t="s">
        <v>7</v>
      </c>
      <c r="K1" t="s">
        <v>8</v>
      </c>
      <c r="L1" t="s">
        <v>1607</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L11">
        <v>181.92920000000001</v>
      </c>
      <c r="M11">
        <v>5</v>
      </c>
    </row>
    <row r="12" spans="1:13" x14ac:dyDescent="0.35">
      <c r="A12" t="s">
        <v>17</v>
      </c>
      <c r="B12">
        <v>11</v>
      </c>
      <c r="C12" t="s">
        <v>46</v>
      </c>
      <c r="D12" t="s">
        <v>47</v>
      </c>
      <c r="E12">
        <v>2018</v>
      </c>
      <c r="F12" t="s">
        <v>44</v>
      </c>
      <c r="G12" t="s">
        <v>21</v>
      </c>
      <c r="H12" t="s">
        <v>15</v>
      </c>
      <c r="I12" t="s">
        <v>45</v>
      </c>
      <c r="J12">
        <v>8.4554568999999996E-2</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L22">
        <v>60.2194</v>
      </c>
      <c r="M22">
        <v>5</v>
      </c>
    </row>
    <row r="23" spans="1:13" x14ac:dyDescent="0.35">
      <c r="A23" t="s">
        <v>17</v>
      </c>
      <c r="B23">
        <v>22</v>
      </c>
      <c r="C23" t="s">
        <v>62</v>
      </c>
      <c r="D23" t="s">
        <v>63</v>
      </c>
      <c r="E23">
        <v>2018</v>
      </c>
      <c r="F23" t="s">
        <v>44</v>
      </c>
      <c r="G23" t="s">
        <v>21</v>
      </c>
      <c r="H23" t="s">
        <v>15</v>
      </c>
      <c r="I23" t="s">
        <v>45</v>
      </c>
      <c r="J23">
        <v>2.6916794000000001E-2</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17</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17</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L93">
        <v>108.22799999999999</v>
      </c>
      <c r="M93">
        <v>5</v>
      </c>
    </row>
    <row r="94" spans="1:13" x14ac:dyDescent="0.35">
      <c r="A94" t="s">
        <v>17</v>
      </c>
      <c r="B94">
        <v>93</v>
      </c>
      <c r="C94" t="s">
        <v>138</v>
      </c>
      <c r="D94" t="s">
        <v>28</v>
      </c>
      <c r="E94">
        <v>2018</v>
      </c>
      <c r="F94" t="s">
        <v>137</v>
      </c>
      <c r="G94" t="s">
        <v>14</v>
      </c>
      <c r="H94" t="s">
        <v>26</v>
      </c>
      <c r="I94" t="s">
        <v>39</v>
      </c>
      <c r="J94">
        <v>0.196490902</v>
      </c>
      <c r="L94">
        <v>120.544</v>
      </c>
      <c r="M94">
        <v>5</v>
      </c>
    </row>
    <row r="95" spans="1:13" x14ac:dyDescent="0.35">
      <c r="A95" t="s">
        <v>17</v>
      </c>
      <c r="B95">
        <v>94</v>
      </c>
      <c r="C95" t="s">
        <v>139</v>
      </c>
      <c r="D95" t="s">
        <v>66</v>
      </c>
      <c r="E95">
        <v>2018</v>
      </c>
      <c r="F95" t="s">
        <v>137</v>
      </c>
      <c r="G95" t="s">
        <v>14</v>
      </c>
      <c r="H95" t="s">
        <v>26</v>
      </c>
      <c r="I95" t="s">
        <v>39</v>
      </c>
      <c r="J95">
        <v>0.24749009</v>
      </c>
      <c r="L95">
        <v>263.1884</v>
      </c>
      <c r="M95">
        <v>5</v>
      </c>
    </row>
    <row r="96" spans="1:13" x14ac:dyDescent="0.35">
      <c r="A96" t="s">
        <v>17</v>
      </c>
      <c r="B96">
        <v>95</v>
      </c>
      <c r="C96" t="s">
        <v>140</v>
      </c>
      <c r="D96" t="s">
        <v>12</v>
      </c>
      <c r="E96">
        <v>2018</v>
      </c>
      <c r="F96" t="s">
        <v>137</v>
      </c>
      <c r="G96" t="s">
        <v>14</v>
      </c>
      <c r="H96" t="s">
        <v>26</v>
      </c>
      <c r="I96" t="s">
        <v>39</v>
      </c>
      <c r="J96">
        <v>3.7824734999999998E-2</v>
      </c>
      <c r="L96">
        <v>109.72280000000001</v>
      </c>
      <c r="M96">
        <v>5</v>
      </c>
    </row>
    <row r="97" spans="1:13" x14ac:dyDescent="0.35">
      <c r="A97" t="s">
        <v>17</v>
      </c>
      <c r="B97">
        <v>96</v>
      </c>
      <c r="C97" t="s">
        <v>141</v>
      </c>
      <c r="D97" t="s">
        <v>12</v>
      </c>
      <c r="E97">
        <v>2018</v>
      </c>
      <c r="F97" t="s">
        <v>137</v>
      </c>
      <c r="G97" t="s">
        <v>14</v>
      </c>
      <c r="H97" t="s">
        <v>26</v>
      </c>
      <c r="I97" t="s">
        <v>39</v>
      </c>
      <c r="J97">
        <v>0.14210799800000001</v>
      </c>
      <c r="L97">
        <v>150.3734</v>
      </c>
      <c r="M97">
        <v>5</v>
      </c>
    </row>
    <row r="98" spans="1:13" x14ac:dyDescent="0.35">
      <c r="A98" t="s">
        <v>17</v>
      </c>
      <c r="B98">
        <v>97</v>
      </c>
      <c r="C98" t="s">
        <v>142</v>
      </c>
      <c r="D98" t="s">
        <v>12</v>
      </c>
      <c r="E98">
        <v>2018</v>
      </c>
      <c r="F98" t="s">
        <v>137</v>
      </c>
      <c r="G98" t="s">
        <v>14</v>
      </c>
      <c r="H98" t="s">
        <v>26</v>
      </c>
      <c r="I98" t="s">
        <v>39</v>
      </c>
      <c r="J98">
        <v>4.5062129999999999E-2</v>
      </c>
      <c r="L98">
        <v>167.54740000000001</v>
      </c>
      <c r="M98">
        <v>5</v>
      </c>
    </row>
    <row r="99" spans="1:13" x14ac:dyDescent="0.35">
      <c r="A99" t="s">
        <v>17</v>
      </c>
      <c r="B99">
        <v>98</v>
      </c>
      <c r="C99" t="s">
        <v>143</v>
      </c>
      <c r="D99" t="s">
        <v>19</v>
      </c>
      <c r="E99">
        <v>2018</v>
      </c>
      <c r="F99" t="s">
        <v>137</v>
      </c>
      <c r="G99" t="s">
        <v>14</v>
      </c>
      <c r="H99" t="s">
        <v>26</v>
      </c>
      <c r="I99" t="s">
        <v>39</v>
      </c>
      <c r="J99">
        <v>4.4000492000000002E-2</v>
      </c>
      <c r="L99">
        <v>148.27340000000001</v>
      </c>
      <c r="M99">
        <v>5</v>
      </c>
    </row>
    <row r="100" spans="1:13" x14ac:dyDescent="0.35">
      <c r="A100" t="s">
        <v>17</v>
      </c>
      <c r="B100">
        <v>99</v>
      </c>
      <c r="C100" t="s">
        <v>144</v>
      </c>
      <c r="D100" t="s">
        <v>19</v>
      </c>
      <c r="E100">
        <v>2018</v>
      </c>
      <c r="F100" t="s">
        <v>137</v>
      </c>
      <c r="G100" t="s">
        <v>14</v>
      </c>
      <c r="H100" t="s">
        <v>26</v>
      </c>
      <c r="I100" t="s">
        <v>39</v>
      </c>
      <c r="J100">
        <v>0</v>
      </c>
      <c r="L100">
        <v>123.473</v>
      </c>
      <c r="M100">
        <v>5</v>
      </c>
    </row>
    <row r="101" spans="1:13" x14ac:dyDescent="0.35">
      <c r="A101" t="s">
        <v>17</v>
      </c>
      <c r="B101">
        <v>100</v>
      </c>
      <c r="C101" t="s">
        <v>145</v>
      </c>
      <c r="D101" t="s">
        <v>19</v>
      </c>
      <c r="E101">
        <v>2018</v>
      </c>
      <c r="F101" t="s">
        <v>137</v>
      </c>
      <c r="G101" t="s">
        <v>14</v>
      </c>
      <c r="H101" t="s">
        <v>26</v>
      </c>
      <c r="I101" t="s">
        <v>39</v>
      </c>
      <c r="J101">
        <v>4.4607722000000002E-2</v>
      </c>
      <c r="L101">
        <v>145.976</v>
      </c>
      <c r="M101">
        <v>5</v>
      </c>
    </row>
    <row r="102" spans="1:13" x14ac:dyDescent="0.35">
      <c r="A102" t="s">
        <v>17</v>
      </c>
      <c r="B102">
        <v>101</v>
      </c>
      <c r="C102" t="s">
        <v>146</v>
      </c>
      <c r="D102" t="s">
        <v>19</v>
      </c>
      <c r="E102">
        <v>2018</v>
      </c>
      <c r="F102" t="s">
        <v>137</v>
      </c>
      <c r="G102" t="s">
        <v>14</v>
      </c>
      <c r="H102" t="s">
        <v>26</v>
      </c>
      <c r="I102" t="s">
        <v>39</v>
      </c>
      <c r="J102">
        <v>3.1024168000000001E-2</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L104">
        <v>244.346</v>
      </c>
      <c r="M104">
        <v>5</v>
      </c>
    </row>
    <row r="105" spans="1:13" x14ac:dyDescent="0.35">
      <c r="A105" t="s">
        <v>17</v>
      </c>
      <c r="B105">
        <v>104</v>
      </c>
      <c r="C105" t="s">
        <v>51</v>
      </c>
      <c r="D105" t="s">
        <v>41</v>
      </c>
      <c r="E105">
        <v>2018</v>
      </c>
      <c r="F105" t="s">
        <v>137</v>
      </c>
      <c r="G105" t="s">
        <v>14</v>
      </c>
      <c r="H105" t="s">
        <v>26</v>
      </c>
      <c r="I105" t="s">
        <v>39</v>
      </c>
      <c r="J105">
        <v>0.158562708</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L106">
        <v>167.7842</v>
      </c>
      <c r="M106">
        <v>5</v>
      </c>
    </row>
    <row r="107" spans="1:13" x14ac:dyDescent="0.35">
      <c r="A107" t="s">
        <v>17</v>
      </c>
      <c r="B107">
        <v>106</v>
      </c>
      <c r="C107" t="s">
        <v>150</v>
      </c>
      <c r="D107" t="s">
        <v>53</v>
      </c>
      <c r="E107">
        <v>2018</v>
      </c>
      <c r="F107" t="s">
        <v>137</v>
      </c>
      <c r="G107" t="s">
        <v>14</v>
      </c>
      <c r="H107" t="s">
        <v>26</v>
      </c>
      <c r="I107" t="s">
        <v>39</v>
      </c>
      <c r="J107">
        <v>2.9299175E-2</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L108">
        <v>34.221600000000002</v>
      </c>
      <c r="M108">
        <v>5</v>
      </c>
    </row>
    <row r="109" spans="1:13" x14ac:dyDescent="0.35">
      <c r="A109" t="s">
        <v>10</v>
      </c>
      <c r="B109">
        <v>108</v>
      </c>
      <c r="C109" t="s">
        <v>153</v>
      </c>
      <c r="D109" t="s">
        <v>73</v>
      </c>
      <c r="E109">
        <v>2018</v>
      </c>
      <c r="F109" t="s">
        <v>137</v>
      </c>
      <c r="G109" t="s">
        <v>14</v>
      </c>
      <c r="H109" t="s">
        <v>26</v>
      </c>
      <c r="I109" t="s">
        <v>39</v>
      </c>
      <c r="J109">
        <v>9.8606543000000005E-2</v>
      </c>
      <c r="L109">
        <v>232.73</v>
      </c>
      <c r="M109">
        <v>5</v>
      </c>
    </row>
    <row r="110" spans="1:13" x14ac:dyDescent="0.35">
      <c r="A110" t="s">
        <v>10</v>
      </c>
      <c r="B110">
        <v>109</v>
      </c>
      <c r="C110" t="s">
        <v>154</v>
      </c>
      <c r="D110" t="s">
        <v>28</v>
      </c>
      <c r="E110">
        <v>2018</v>
      </c>
      <c r="F110" t="s">
        <v>137</v>
      </c>
      <c r="G110" t="s">
        <v>14</v>
      </c>
      <c r="H110" t="s">
        <v>26</v>
      </c>
      <c r="I110" t="s">
        <v>39</v>
      </c>
      <c r="J110">
        <v>0.18223655499999999</v>
      </c>
      <c r="L110">
        <v>107.1622</v>
      </c>
      <c r="M110">
        <v>5</v>
      </c>
    </row>
    <row r="111" spans="1:13" x14ac:dyDescent="0.35">
      <c r="A111" t="s">
        <v>10</v>
      </c>
      <c r="B111">
        <v>110</v>
      </c>
      <c r="C111" t="s">
        <v>155</v>
      </c>
      <c r="D111" t="s">
        <v>12</v>
      </c>
      <c r="E111">
        <v>2018</v>
      </c>
      <c r="F111" t="s">
        <v>137</v>
      </c>
      <c r="G111" t="s">
        <v>14</v>
      </c>
      <c r="H111" t="s">
        <v>26</v>
      </c>
      <c r="I111" t="s">
        <v>39</v>
      </c>
      <c r="J111">
        <v>0.20916293599999999</v>
      </c>
      <c r="L111">
        <v>179.19759999999999</v>
      </c>
      <c r="M111">
        <v>5</v>
      </c>
    </row>
    <row r="112" spans="1:13" x14ac:dyDescent="0.35">
      <c r="A112" t="s">
        <v>10</v>
      </c>
      <c r="B112">
        <v>111</v>
      </c>
      <c r="C112" t="s">
        <v>156</v>
      </c>
      <c r="D112" t="s">
        <v>53</v>
      </c>
      <c r="E112">
        <v>2018</v>
      </c>
      <c r="F112" t="s">
        <v>137</v>
      </c>
      <c r="G112" t="s">
        <v>14</v>
      </c>
      <c r="H112" t="s">
        <v>26</v>
      </c>
      <c r="I112" t="s">
        <v>39</v>
      </c>
      <c r="J112">
        <v>7.7480626999999996E-2</v>
      </c>
      <c r="L112">
        <v>101.399</v>
      </c>
      <c r="M112">
        <v>5</v>
      </c>
    </row>
    <row r="113" spans="1:13" x14ac:dyDescent="0.35">
      <c r="A113" t="s">
        <v>10</v>
      </c>
      <c r="B113">
        <v>112</v>
      </c>
      <c r="C113" t="s">
        <v>157</v>
      </c>
      <c r="D113" t="s">
        <v>158</v>
      </c>
      <c r="E113">
        <v>2018</v>
      </c>
      <c r="F113" t="s">
        <v>137</v>
      </c>
      <c r="G113" t="s">
        <v>14</v>
      </c>
      <c r="H113" t="s">
        <v>26</v>
      </c>
      <c r="I113" t="s">
        <v>39</v>
      </c>
      <c r="J113">
        <v>1.2327846999999999E-2</v>
      </c>
      <c r="L113">
        <v>173.87379999999999</v>
      </c>
      <c r="M113">
        <v>5</v>
      </c>
    </row>
    <row r="114" spans="1:13" x14ac:dyDescent="0.35">
      <c r="A114" t="s">
        <v>10</v>
      </c>
      <c r="B114">
        <v>113</v>
      </c>
      <c r="C114" t="s">
        <v>159</v>
      </c>
      <c r="D114" t="s">
        <v>28</v>
      </c>
      <c r="E114">
        <v>2018</v>
      </c>
      <c r="F114" t="s">
        <v>137</v>
      </c>
      <c r="G114" t="s">
        <v>14</v>
      </c>
      <c r="H114" t="s">
        <v>26</v>
      </c>
      <c r="I114" t="s">
        <v>39</v>
      </c>
      <c r="J114">
        <v>1.4342659000000001E-2</v>
      </c>
      <c r="L114">
        <v>103.76739999999999</v>
      </c>
      <c r="M114">
        <v>5</v>
      </c>
    </row>
    <row r="115" spans="1:13" x14ac:dyDescent="0.35">
      <c r="A115" t="s">
        <v>10</v>
      </c>
      <c r="B115">
        <v>114</v>
      </c>
      <c r="C115" t="s">
        <v>160</v>
      </c>
      <c r="D115" t="s">
        <v>24</v>
      </c>
      <c r="E115">
        <v>2018</v>
      </c>
      <c r="F115" t="s">
        <v>137</v>
      </c>
      <c r="G115" t="s">
        <v>14</v>
      </c>
      <c r="H115" t="s">
        <v>26</v>
      </c>
      <c r="I115" t="s">
        <v>39</v>
      </c>
      <c r="J115">
        <v>0</v>
      </c>
      <c r="L115">
        <v>83.756600000000006</v>
      </c>
      <c r="M115">
        <v>5</v>
      </c>
    </row>
    <row r="116" spans="1:13" x14ac:dyDescent="0.3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v>132</v>
      </c>
      <c r="C133" t="s">
        <v>176</v>
      </c>
      <c r="D133" t="s">
        <v>47</v>
      </c>
      <c r="E133">
        <v>2016</v>
      </c>
      <c r="F133" t="s">
        <v>25</v>
      </c>
      <c r="G133" t="s">
        <v>14</v>
      </c>
      <c r="H133" t="s">
        <v>26</v>
      </c>
      <c r="I133" t="s">
        <v>16</v>
      </c>
      <c r="J133">
        <v>0.116542484</v>
      </c>
      <c r="K133">
        <v>17.7</v>
      </c>
      <c r="L133">
        <v>182.6266</v>
      </c>
      <c r="M133">
        <v>5</v>
      </c>
    </row>
    <row r="134" spans="1:13" x14ac:dyDescent="0.3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v>151</v>
      </c>
      <c r="C152" t="s">
        <v>65</v>
      </c>
      <c r="D152" t="s">
        <v>66</v>
      </c>
      <c r="E152">
        <v>2015</v>
      </c>
      <c r="F152" t="s">
        <v>33</v>
      </c>
      <c r="G152" t="s">
        <v>34</v>
      </c>
      <c r="H152" t="s">
        <v>15</v>
      </c>
      <c r="I152" t="s">
        <v>16</v>
      </c>
      <c r="J152">
        <v>0</v>
      </c>
      <c r="K152">
        <v>17.25</v>
      </c>
      <c r="L152">
        <v>171.57640000000001</v>
      </c>
      <c r="M152">
        <v>5</v>
      </c>
    </row>
    <row r="153" spans="1:13" x14ac:dyDescent="0.35">
      <c r="A153" t="s">
        <v>17</v>
      </c>
      <c r="B153">
        <v>152</v>
      </c>
      <c r="C153" t="s">
        <v>195</v>
      </c>
      <c r="D153" t="s">
        <v>19</v>
      </c>
      <c r="E153">
        <v>2020</v>
      </c>
      <c r="F153" t="s">
        <v>36</v>
      </c>
      <c r="G153" t="s">
        <v>34</v>
      </c>
      <c r="H153" t="s">
        <v>15</v>
      </c>
      <c r="I153" t="s">
        <v>16</v>
      </c>
      <c r="J153">
        <v>0</v>
      </c>
      <c r="K153">
        <v>12.15</v>
      </c>
      <c r="L153">
        <v>39.150599999999997</v>
      </c>
      <c r="M153">
        <v>5</v>
      </c>
    </row>
    <row r="154" spans="1:13" x14ac:dyDescent="0.3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211</v>
      </c>
      <c r="D171" t="s">
        <v>19</v>
      </c>
      <c r="E171">
        <v>2015</v>
      </c>
      <c r="F171" t="s">
        <v>33</v>
      </c>
      <c r="G171" t="s">
        <v>34</v>
      </c>
      <c r="H171" t="s">
        <v>26</v>
      </c>
      <c r="I171" t="s">
        <v>16</v>
      </c>
      <c r="J171">
        <v>4.1950753E-2</v>
      </c>
      <c r="K171">
        <v>10.8</v>
      </c>
      <c r="L171">
        <v>190.0214</v>
      </c>
      <c r="M171">
        <v>5</v>
      </c>
    </row>
    <row r="172" spans="1:13" x14ac:dyDescent="0.3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212</v>
      </c>
      <c r="D173" t="s">
        <v>41</v>
      </c>
      <c r="E173">
        <v>2015</v>
      </c>
      <c r="F173" t="s">
        <v>33</v>
      </c>
      <c r="G173" t="s">
        <v>34</v>
      </c>
      <c r="H173" t="s">
        <v>26</v>
      </c>
      <c r="I173" t="s">
        <v>16</v>
      </c>
      <c r="J173">
        <v>2.4937792E-2</v>
      </c>
      <c r="K173">
        <v>5.88</v>
      </c>
      <c r="L173">
        <v>148.4392</v>
      </c>
      <c r="M173">
        <v>5</v>
      </c>
    </row>
    <row r="174" spans="1:13" x14ac:dyDescent="0.3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217</v>
      </c>
      <c r="D178" t="s">
        <v>41</v>
      </c>
      <c r="E178">
        <v>2015</v>
      </c>
      <c r="F178" t="s">
        <v>33</v>
      </c>
      <c r="G178" t="s">
        <v>34</v>
      </c>
      <c r="H178" t="s">
        <v>26</v>
      </c>
      <c r="I178" t="s">
        <v>16</v>
      </c>
      <c r="J178">
        <v>1.433033E-2</v>
      </c>
      <c r="K178">
        <v>19.75</v>
      </c>
      <c r="L178">
        <v>104.2332</v>
      </c>
      <c r="M178">
        <v>5</v>
      </c>
    </row>
    <row r="179" spans="1:13" x14ac:dyDescent="0.3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v>180</v>
      </c>
      <c r="C181" t="s">
        <v>220</v>
      </c>
      <c r="D181" t="s">
        <v>32</v>
      </c>
      <c r="E181">
        <v>2015</v>
      </c>
      <c r="F181" t="s">
        <v>33</v>
      </c>
      <c r="G181" t="s">
        <v>34</v>
      </c>
      <c r="H181" t="s">
        <v>26</v>
      </c>
      <c r="I181" t="s">
        <v>16</v>
      </c>
      <c r="J181">
        <v>0</v>
      </c>
      <c r="K181">
        <v>5</v>
      </c>
      <c r="L181">
        <v>189.85300000000001</v>
      </c>
      <c r="M181">
        <v>5</v>
      </c>
    </row>
    <row r="182" spans="1:13" x14ac:dyDescent="0.3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v>198</v>
      </c>
      <c r="C199" t="s">
        <v>237</v>
      </c>
      <c r="D199" t="s">
        <v>19</v>
      </c>
      <c r="E199">
        <v>2020</v>
      </c>
      <c r="F199" t="s">
        <v>36</v>
      </c>
      <c r="G199" t="s">
        <v>34</v>
      </c>
      <c r="H199" t="s">
        <v>26</v>
      </c>
      <c r="I199" t="s">
        <v>16</v>
      </c>
      <c r="J199">
        <v>0</v>
      </c>
      <c r="K199">
        <v>11.395</v>
      </c>
      <c r="L199">
        <v>149.27080000000001</v>
      </c>
      <c r="M199">
        <v>5</v>
      </c>
    </row>
    <row r="200" spans="1:13" x14ac:dyDescent="0.3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v>202</v>
      </c>
      <c r="C203" t="s">
        <v>148</v>
      </c>
      <c r="D203" t="s">
        <v>41</v>
      </c>
      <c r="E203">
        <v>2020</v>
      </c>
      <c r="F203" t="s">
        <v>36</v>
      </c>
      <c r="G203" t="s">
        <v>34</v>
      </c>
      <c r="H203" t="s">
        <v>30</v>
      </c>
      <c r="I203" t="s">
        <v>16</v>
      </c>
      <c r="J203">
        <v>5.9268885E-2</v>
      </c>
      <c r="K203">
        <v>20.25</v>
      </c>
      <c r="L203">
        <v>246.446</v>
      </c>
      <c r="M203">
        <v>5</v>
      </c>
    </row>
    <row r="204" spans="1:13" x14ac:dyDescent="0.3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v>207</v>
      </c>
      <c r="C208" t="s">
        <v>244</v>
      </c>
      <c r="D208" t="s">
        <v>63</v>
      </c>
      <c r="E208">
        <v>2020</v>
      </c>
      <c r="F208" t="s">
        <v>36</v>
      </c>
      <c r="G208" t="s">
        <v>34</v>
      </c>
      <c r="H208" t="s">
        <v>30</v>
      </c>
      <c r="I208" t="s">
        <v>16</v>
      </c>
      <c r="J208">
        <v>0.111931193</v>
      </c>
      <c r="K208">
        <v>17.75</v>
      </c>
      <c r="L208">
        <v>108.8912</v>
      </c>
      <c r="M208">
        <v>5</v>
      </c>
    </row>
    <row r="209" spans="1:13" x14ac:dyDescent="0.3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v>212</v>
      </c>
      <c r="C213" t="s">
        <v>249</v>
      </c>
      <c r="D213" t="s">
        <v>28</v>
      </c>
      <c r="E213">
        <v>2015</v>
      </c>
      <c r="F213" t="s">
        <v>33</v>
      </c>
      <c r="G213" t="s">
        <v>34</v>
      </c>
      <c r="H213" t="s">
        <v>30</v>
      </c>
      <c r="I213" t="s">
        <v>16</v>
      </c>
      <c r="J213">
        <v>3.0905215E-2</v>
      </c>
      <c r="K213">
        <v>8.42</v>
      </c>
      <c r="L213">
        <v>227.6352</v>
      </c>
      <c r="M213">
        <v>5</v>
      </c>
    </row>
    <row r="214" spans="1:13" x14ac:dyDescent="0.3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251</v>
      </c>
      <c r="D215" t="s">
        <v>28</v>
      </c>
      <c r="E215">
        <v>2015</v>
      </c>
      <c r="F215" t="s">
        <v>33</v>
      </c>
      <c r="G215" t="s">
        <v>34</v>
      </c>
      <c r="H215" t="s">
        <v>30</v>
      </c>
      <c r="I215" t="s">
        <v>16</v>
      </c>
      <c r="J215">
        <v>1.2036432E-2</v>
      </c>
      <c r="K215">
        <v>17.2</v>
      </c>
      <c r="L215">
        <v>165.7184</v>
      </c>
      <c r="M215">
        <v>5</v>
      </c>
    </row>
    <row r="216" spans="1:13" x14ac:dyDescent="0.3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v>222</v>
      </c>
      <c r="C223" t="s">
        <v>258</v>
      </c>
      <c r="D223" t="s">
        <v>47</v>
      </c>
      <c r="E223">
        <v>2015</v>
      </c>
      <c r="F223" t="s">
        <v>33</v>
      </c>
      <c r="G223" t="s">
        <v>34</v>
      </c>
      <c r="H223" t="s">
        <v>30</v>
      </c>
      <c r="I223" t="s">
        <v>16</v>
      </c>
      <c r="J223">
        <v>0</v>
      </c>
      <c r="K223">
        <v>6.61</v>
      </c>
      <c r="L223">
        <v>186.4898</v>
      </c>
      <c r="M223">
        <v>5</v>
      </c>
    </row>
    <row r="224" spans="1:13" x14ac:dyDescent="0.3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v>239</v>
      </c>
      <c r="C240" t="s">
        <v>129</v>
      </c>
      <c r="D240" t="s">
        <v>53</v>
      </c>
      <c r="E240">
        <v>2020</v>
      </c>
      <c r="F240" t="s">
        <v>36</v>
      </c>
      <c r="G240" t="s">
        <v>34</v>
      </c>
      <c r="H240" t="s">
        <v>15</v>
      </c>
      <c r="I240" t="s">
        <v>16</v>
      </c>
      <c r="J240">
        <v>0</v>
      </c>
      <c r="K240">
        <v>13.65</v>
      </c>
      <c r="L240">
        <v>36.653199999999998</v>
      </c>
      <c r="M240">
        <v>5</v>
      </c>
    </row>
    <row r="241" spans="1:13" x14ac:dyDescent="0.3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v>273</v>
      </c>
      <c r="C274" t="s">
        <v>301</v>
      </c>
      <c r="D274" t="s">
        <v>41</v>
      </c>
      <c r="E274">
        <v>2017</v>
      </c>
      <c r="F274" t="s">
        <v>49</v>
      </c>
      <c r="G274" t="s">
        <v>34</v>
      </c>
      <c r="H274" t="s">
        <v>26</v>
      </c>
      <c r="I274" t="s">
        <v>16</v>
      </c>
      <c r="J274">
        <v>0</v>
      </c>
      <c r="K274">
        <v>18.75</v>
      </c>
      <c r="L274">
        <v>213.3218</v>
      </c>
      <c r="M274">
        <v>5</v>
      </c>
    </row>
    <row r="275" spans="1:13" x14ac:dyDescent="0.3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v>284</v>
      </c>
      <c r="C285" t="s">
        <v>310</v>
      </c>
      <c r="D285" t="s">
        <v>94</v>
      </c>
      <c r="E285">
        <v>2017</v>
      </c>
      <c r="F285" t="s">
        <v>49</v>
      </c>
      <c r="G285" t="s">
        <v>34</v>
      </c>
      <c r="H285" t="s">
        <v>26</v>
      </c>
      <c r="I285" t="s">
        <v>16</v>
      </c>
      <c r="J285">
        <v>5.8719726E-2</v>
      </c>
      <c r="K285">
        <v>11.65</v>
      </c>
      <c r="L285">
        <v>171.1422</v>
      </c>
      <c r="M285">
        <v>5</v>
      </c>
    </row>
    <row r="286" spans="1:13" x14ac:dyDescent="0.3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v>304</v>
      </c>
      <c r="C305" t="s">
        <v>327</v>
      </c>
      <c r="D305" t="s">
        <v>41</v>
      </c>
      <c r="E305">
        <v>2011</v>
      </c>
      <c r="F305" t="s">
        <v>38</v>
      </c>
      <c r="G305" t="s">
        <v>21</v>
      </c>
      <c r="H305" t="s">
        <v>15</v>
      </c>
      <c r="I305" t="s">
        <v>39</v>
      </c>
      <c r="J305">
        <v>0.211306673</v>
      </c>
      <c r="K305">
        <v>17</v>
      </c>
      <c r="L305">
        <v>125.1362</v>
      </c>
      <c r="M305">
        <v>5</v>
      </c>
    </row>
    <row r="306" spans="1:13" x14ac:dyDescent="0.3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v>310</v>
      </c>
      <c r="C311" t="s">
        <v>180</v>
      </c>
      <c r="D311" t="s">
        <v>32</v>
      </c>
      <c r="E311">
        <v>2011</v>
      </c>
      <c r="F311" t="s">
        <v>38</v>
      </c>
      <c r="G311" t="s">
        <v>21</v>
      </c>
      <c r="H311" t="s">
        <v>30</v>
      </c>
      <c r="I311" t="s">
        <v>39</v>
      </c>
      <c r="J311">
        <v>5.1544658E-2</v>
      </c>
      <c r="K311">
        <v>13.85</v>
      </c>
      <c r="L311">
        <v>142.5154</v>
      </c>
      <c r="M311">
        <v>5</v>
      </c>
    </row>
    <row r="312" spans="1:13" x14ac:dyDescent="0.3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v>320</v>
      </c>
      <c r="C321" t="s">
        <v>342</v>
      </c>
      <c r="D321" t="s">
        <v>56</v>
      </c>
      <c r="E321">
        <v>2014</v>
      </c>
      <c r="F321" t="s">
        <v>29</v>
      </c>
      <c r="G321" t="s">
        <v>21</v>
      </c>
      <c r="H321" t="s">
        <v>30</v>
      </c>
      <c r="I321" t="s">
        <v>16</v>
      </c>
      <c r="J321">
        <v>2.0698674E-2</v>
      </c>
      <c r="K321">
        <v>13.15</v>
      </c>
      <c r="L321">
        <v>86.3566</v>
      </c>
      <c r="M321">
        <v>5</v>
      </c>
    </row>
    <row r="322" spans="1:13" x14ac:dyDescent="0.35">
      <c r="A322" t="s">
        <v>17</v>
      </c>
      <c r="B322">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345</v>
      </c>
      <c r="D325" t="s">
        <v>24</v>
      </c>
      <c r="E325">
        <v>2014</v>
      </c>
      <c r="F325" t="s">
        <v>29</v>
      </c>
      <c r="G325" t="s">
        <v>21</v>
      </c>
      <c r="H325" t="s">
        <v>30</v>
      </c>
      <c r="I325" t="s">
        <v>16</v>
      </c>
      <c r="J325">
        <v>0.124348482</v>
      </c>
      <c r="K325">
        <v>18</v>
      </c>
      <c r="L325">
        <v>118.3124</v>
      </c>
      <c r="M325">
        <v>5</v>
      </c>
    </row>
    <row r="326" spans="1:13" x14ac:dyDescent="0.3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v>332</v>
      </c>
      <c r="C333" t="s">
        <v>351</v>
      </c>
      <c r="D333" t="s">
        <v>41</v>
      </c>
      <c r="E333">
        <v>2014</v>
      </c>
      <c r="F333" t="s">
        <v>29</v>
      </c>
      <c r="G333" t="s">
        <v>21</v>
      </c>
      <c r="H333" t="s">
        <v>30</v>
      </c>
      <c r="I333" t="s">
        <v>16</v>
      </c>
      <c r="J333">
        <v>0.160529322</v>
      </c>
      <c r="K333">
        <v>15.7</v>
      </c>
      <c r="L333">
        <v>59.2562</v>
      </c>
      <c r="M333">
        <v>5</v>
      </c>
    </row>
    <row r="334" spans="1:13" x14ac:dyDescent="0.3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218</v>
      </c>
      <c r="D336" t="s">
        <v>47</v>
      </c>
      <c r="E336">
        <v>2014</v>
      </c>
      <c r="F336" t="s">
        <v>29</v>
      </c>
      <c r="G336" t="s">
        <v>21</v>
      </c>
      <c r="H336" t="s">
        <v>30</v>
      </c>
      <c r="I336" t="s">
        <v>16</v>
      </c>
      <c r="J336">
        <v>3.315162E-2</v>
      </c>
      <c r="K336">
        <v>12.85</v>
      </c>
      <c r="L336">
        <v>170.6422</v>
      </c>
      <c r="M336">
        <v>5</v>
      </c>
    </row>
    <row r="337" spans="1:13" x14ac:dyDescent="0.3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359</v>
      </c>
      <c r="D343" t="s">
        <v>12</v>
      </c>
      <c r="E343">
        <v>2014</v>
      </c>
      <c r="F343" t="s">
        <v>29</v>
      </c>
      <c r="G343" t="s">
        <v>21</v>
      </c>
      <c r="H343" t="s">
        <v>30</v>
      </c>
      <c r="I343" t="s">
        <v>16</v>
      </c>
      <c r="J343">
        <v>0</v>
      </c>
      <c r="K343">
        <v>10.3</v>
      </c>
      <c r="L343">
        <v>115.0176</v>
      </c>
      <c r="M343">
        <v>5</v>
      </c>
    </row>
    <row r="344" spans="1:13" x14ac:dyDescent="0.35">
      <c r="A344" t="s">
        <v>10</v>
      </c>
      <c r="B344">
        <v>343</v>
      </c>
      <c r="C344" t="s">
        <v>360</v>
      </c>
      <c r="D344" t="s">
        <v>12</v>
      </c>
      <c r="E344">
        <v>2014</v>
      </c>
      <c r="F344" t="s">
        <v>29</v>
      </c>
      <c r="G344" t="s">
        <v>21</v>
      </c>
      <c r="H344" t="s">
        <v>30</v>
      </c>
      <c r="I344" t="s">
        <v>16</v>
      </c>
      <c r="J344">
        <v>0.152001201</v>
      </c>
      <c r="K344">
        <v>12.85</v>
      </c>
      <c r="L344">
        <v>252.3382</v>
      </c>
      <c r="M344">
        <v>5</v>
      </c>
    </row>
    <row r="345" spans="1:13" x14ac:dyDescent="0.35">
      <c r="A345" t="s">
        <v>10</v>
      </c>
      <c r="B345">
        <v>344</v>
      </c>
      <c r="C345" t="s">
        <v>361</v>
      </c>
      <c r="D345" t="s">
        <v>12</v>
      </c>
      <c r="E345">
        <v>2014</v>
      </c>
      <c r="F345" t="s">
        <v>29</v>
      </c>
      <c r="G345" t="s">
        <v>21</v>
      </c>
      <c r="H345" t="s">
        <v>30</v>
      </c>
      <c r="I345" t="s">
        <v>16</v>
      </c>
      <c r="J345">
        <v>4.2923071E-2</v>
      </c>
      <c r="K345">
        <v>14.6</v>
      </c>
      <c r="L345">
        <v>109.8254</v>
      </c>
      <c r="M345">
        <v>5</v>
      </c>
    </row>
    <row r="346" spans="1:13" x14ac:dyDescent="0.3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374</v>
      </c>
      <c r="D361" t="s">
        <v>60</v>
      </c>
      <c r="E361">
        <v>2022</v>
      </c>
      <c r="F361" t="s">
        <v>20</v>
      </c>
      <c r="G361" t="s">
        <v>21</v>
      </c>
      <c r="H361" t="s">
        <v>15</v>
      </c>
      <c r="I361" t="s">
        <v>22</v>
      </c>
      <c r="J361">
        <v>4.4430561E-2</v>
      </c>
      <c r="K361">
        <v>18.25</v>
      </c>
      <c r="L361">
        <v>174.208</v>
      </c>
      <c r="M361">
        <v>5</v>
      </c>
    </row>
    <row r="362" spans="1:13" x14ac:dyDescent="0.3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v>369</v>
      </c>
      <c r="C370" t="s">
        <v>382</v>
      </c>
      <c r="D370" t="s">
        <v>53</v>
      </c>
      <c r="E370">
        <v>2022</v>
      </c>
      <c r="F370" t="s">
        <v>20</v>
      </c>
      <c r="G370" t="s">
        <v>21</v>
      </c>
      <c r="H370" t="s">
        <v>15</v>
      </c>
      <c r="I370" t="s">
        <v>22</v>
      </c>
      <c r="J370">
        <v>0.123531974</v>
      </c>
      <c r="K370">
        <v>12.65</v>
      </c>
      <c r="L370">
        <v>108.2938</v>
      </c>
      <c r="M370">
        <v>5</v>
      </c>
    </row>
    <row r="371" spans="1:13" x14ac:dyDescent="0.3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v>375</v>
      </c>
      <c r="C376" t="s">
        <v>387</v>
      </c>
      <c r="D376" t="s">
        <v>47</v>
      </c>
      <c r="E376">
        <v>2022</v>
      </c>
      <c r="F376" t="s">
        <v>20</v>
      </c>
      <c r="G376" t="s">
        <v>21</v>
      </c>
      <c r="H376" t="s">
        <v>15</v>
      </c>
      <c r="I376" t="s">
        <v>22</v>
      </c>
      <c r="J376">
        <v>0.100055625</v>
      </c>
      <c r="K376">
        <v>10</v>
      </c>
      <c r="L376">
        <v>113.3544</v>
      </c>
      <c r="M376">
        <v>5</v>
      </c>
    </row>
    <row r="377" spans="1:13" x14ac:dyDescent="0.3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v>380</v>
      </c>
      <c r="C381" t="s">
        <v>391</v>
      </c>
      <c r="D381" t="s">
        <v>32</v>
      </c>
      <c r="E381">
        <v>2022</v>
      </c>
      <c r="F381" t="s">
        <v>20</v>
      </c>
      <c r="G381" t="s">
        <v>21</v>
      </c>
      <c r="H381" t="s">
        <v>15</v>
      </c>
      <c r="I381" t="s">
        <v>22</v>
      </c>
      <c r="J381">
        <v>0</v>
      </c>
      <c r="K381">
        <v>7.97</v>
      </c>
      <c r="L381">
        <v>172.04220000000001</v>
      </c>
      <c r="M381">
        <v>5</v>
      </c>
    </row>
    <row r="382" spans="1:13" x14ac:dyDescent="0.3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394</v>
      </c>
      <c r="D386" t="s">
        <v>28</v>
      </c>
      <c r="E386">
        <v>2022</v>
      </c>
      <c r="F386" t="s">
        <v>20</v>
      </c>
      <c r="G386" t="s">
        <v>21</v>
      </c>
      <c r="H386" t="s">
        <v>15</v>
      </c>
      <c r="I386" t="s">
        <v>22</v>
      </c>
      <c r="J386">
        <v>0</v>
      </c>
      <c r="K386">
        <v>14.5</v>
      </c>
      <c r="L386">
        <v>41.045400000000001</v>
      </c>
      <c r="M386">
        <v>5</v>
      </c>
    </row>
    <row r="387" spans="1:13" x14ac:dyDescent="0.35">
      <c r="A387" t="s">
        <v>10</v>
      </c>
      <c r="B387">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v>387</v>
      </c>
      <c r="C388" t="s">
        <v>396</v>
      </c>
      <c r="D388" t="s">
        <v>66</v>
      </c>
      <c r="E388">
        <v>2022</v>
      </c>
      <c r="F388" t="s">
        <v>20</v>
      </c>
      <c r="G388" t="s">
        <v>21</v>
      </c>
      <c r="H388" t="s">
        <v>15</v>
      </c>
      <c r="I388" t="s">
        <v>22</v>
      </c>
      <c r="J388">
        <v>0.184041545</v>
      </c>
      <c r="K388">
        <v>18.25</v>
      </c>
      <c r="L388">
        <v>110.157</v>
      </c>
      <c r="M388">
        <v>5</v>
      </c>
    </row>
    <row r="389" spans="1:13" x14ac:dyDescent="0.3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v>394</v>
      </c>
      <c r="C395" t="s">
        <v>200</v>
      </c>
      <c r="D395" t="s">
        <v>28</v>
      </c>
      <c r="E395">
        <v>2018</v>
      </c>
      <c r="F395" t="s">
        <v>44</v>
      </c>
      <c r="G395" t="s">
        <v>21</v>
      </c>
      <c r="H395" t="s">
        <v>15</v>
      </c>
      <c r="I395" t="s">
        <v>45</v>
      </c>
      <c r="J395">
        <v>8.9243504000000001E-2</v>
      </c>
      <c r="L395">
        <v>139.24959999999999</v>
      </c>
      <c r="M395">
        <v>5</v>
      </c>
    </row>
    <row r="396" spans="1:13" x14ac:dyDescent="0.35">
      <c r="A396" t="s">
        <v>17</v>
      </c>
      <c r="B396">
        <v>395</v>
      </c>
      <c r="C396" t="s">
        <v>403</v>
      </c>
      <c r="D396" t="s">
        <v>28</v>
      </c>
      <c r="E396">
        <v>2018</v>
      </c>
      <c r="F396" t="s">
        <v>44</v>
      </c>
      <c r="G396" t="s">
        <v>21</v>
      </c>
      <c r="H396" t="s">
        <v>15</v>
      </c>
      <c r="I396" t="s">
        <v>45</v>
      </c>
      <c r="J396">
        <v>2.6552056000000001E-2</v>
      </c>
      <c r="L396">
        <v>56.224600000000002</v>
      </c>
      <c r="M396">
        <v>5</v>
      </c>
    </row>
    <row r="397" spans="1:13" x14ac:dyDescent="0.35">
      <c r="A397" t="s">
        <v>17</v>
      </c>
      <c r="B397">
        <v>396</v>
      </c>
      <c r="C397" t="s">
        <v>404</v>
      </c>
      <c r="D397" t="s">
        <v>24</v>
      </c>
      <c r="E397">
        <v>2018</v>
      </c>
      <c r="F397" t="s">
        <v>44</v>
      </c>
      <c r="G397" t="s">
        <v>21</v>
      </c>
      <c r="H397" t="s">
        <v>15</v>
      </c>
      <c r="I397" t="s">
        <v>45</v>
      </c>
      <c r="J397">
        <v>8.7929070000000008E-3</v>
      </c>
      <c r="L397">
        <v>96.738399999999999</v>
      </c>
      <c r="M397">
        <v>5</v>
      </c>
    </row>
    <row r="398" spans="1:13" x14ac:dyDescent="0.35">
      <c r="A398" t="s">
        <v>17</v>
      </c>
      <c r="B398">
        <v>397</v>
      </c>
      <c r="C398" t="s">
        <v>405</v>
      </c>
      <c r="D398" t="s">
        <v>24</v>
      </c>
      <c r="E398">
        <v>2018</v>
      </c>
      <c r="F398" t="s">
        <v>44</v>
      </c>
      <c r="G398" t="s">
        <v>21</v>
      </c>
      <c r="H398" t="s">
        <v>15</v>
      </c>
      <c r="I398" t="s">
        <v>45</v>
      </c>
      <c r="J398">
        <v>5.3038775000000003E-2</v>
      </c>
      <c r="L398">
        <v>59.590400000000002</v>
      </c>
      <c r="M398">
        <v>5</v>
      </c>
    </row>
    <row r="399" spans="1:13" x14ac:dyDescent="0.35">
      <c r="A399" t="s">
        <v>17</v>
      </c>
      <c r="B399">
        <v>398</v>
      </c>
      <c r="C399" t="s">
        <v>406</v>
      </c>
      <c r="D399" t="s">
        <v>24</v>
      </c>
      <c r="E399">
        <v>2018</v>
      </c>
      <c r="F399" t="s">
        <v>44</v>
      </c>
      <c r="G399" t="s">
        <v>21</v>
      </c>
      <c r="H399" t="s">
        <v>15</v>
      </c>
      <c r="I399" t="s">
        <v>45</v>
      </c>
      <c r="J399">
        <v>3.2470107999999998E-2</v>
      </c>
      <c r="L399">
        <v>148.9392</v>
      </c>
      <c r="M399">
        <v>5</v>
      </c>
    </row>
    <row r="400" spans="1:13" x14ac:dyDescent="0.35">
      <c r="A400" t="s">
        <v>17</v>
      </c>
      <c r="B400">
        <v>399</v>
      </c>
      <c r="C400" t="s">
        <v>407</v>
      </c>
      <c r="D400" t="s">
        <v>24</v>
      </c>
      <c r="E400">
        <v>2018</v>
      </c>
      <c r="F400" t="s">
        <v>44</v>
      </c>
      <c r="G400" t="s">
        <v>21</v>
      </c>
      <c r="H400" t="s">
        <v>15</v>
      </c>
      <c r="I400" t="s">
        <v>45</v>
      </c>
      <c r="J400">
        <v>9.5331432999999993E-2</v>
      </c>
      <c r="L400">
        <v>125.56780000000001</v>
      </c>
      <c r="M400">
        <v>5</v>
      </c>
    </row>
    <row r="401" spans="1:13" x14ac:dyDescent="0.35">
      <c r="A401" t="s">
        <v>17</v>
      </c>
      <c r="B401">
        <v>400</v>
      </c>
      <c r="C401" t="s">
        <v>408</v>
      </c>
      <c r="D401" t="s">
        <v>12</v>
      </c>
      <c r="E401">
        <v>2018</v>
      </c>
      <c r="F401" t="s">
        <v>44</v>
      </c>
      <c r="G401" t="s">
        <v>21</v>
      </c>
      <c r="H401" t="s">
        <v>15</v>
      </c>
      <c r="I401" t="s">
        <v>45</v>
      </c>
      <c r="J401">
        <v>0</v>
      </c>
      <c r="L401">
        <v>231.96420000000001</v>
      </c>
      <c r="M401">
        <v>5</v>
      </c>
    </row>
    <row r="402" spans="1:13" x14ac:dyDescent="0.35">
      <c r="A402" t="s">
        <v>17</v>
      </c>
      <c r="B402">
        <v>401</v>
      </c>
      <c r="C402" t="s">
        <v>42</v>
      </c>
      <c r="D402" t="s">
        <v>12</v>
      </c>
      <c r="E402">
        <v>2018</v>
      </c>
      <c r="F402" t="s">
        <v>44</v>
      </c>
      <c r="G402" t="s">
        <v>21</v>
      </c>
      <c r="H402" t="s">
        <v>15</v>
      </c>
      <c r="I402" t="s">
        <v>45</v>
      </c>
      <c r="J402">
        <v>2.4032484E-2</v>
      </c>
      <c r="L402">
        <v>124.973</v>
      </c>
      <c r="M402">
        <v>5</v>
      </c>
    </row>
    <row r="403" spans="1:13" x14ac:dyDescent="0.35">
      <c r="A403" t="s">
        <v>17</v>
      </c>
      <c r="B403">
        <v>402</v>
      </c>
      <c r="C403" t="s">
        <v>59</v>
      </c>
      <c r="D403" t="s">
        <v>60</v>
      </c>
      <c r="E403">
        <v>2018</v>
      </c>
      <c r="F403" t="s">
        <v>44</v>
      </c>
      <c r="G403" t="s">
        <v>21</v>
      </c>
      <c r="H403" t="s">
        <v>15</v>
      </c>
      <c r="I403" t="s">
        <v>45</v>
      </c>
      <c r="J403">
        <v>1.6745263999999999E-2</v>
      </c>
      <c r="L403">
        <v>180.76599999999999</v>
      </c>
      <c r="M403">
        <v>5</v>
      </c>
    </row>
    <row r="404" spans="1:13" x14ac:dyDescent="0.35">
      <c r="A404" t="s">
        <v>17</v>
      </c>
      <c r="B404">
        <v>403</v>
      </c>
      <c r="C404" t="s">
        <v>409</v>
      </c>
      <c r="D404" t="s">
        <v>19</v>
      </c>
      <c r="E404">
        <v>2018</v>
      </c>
      <c r="F404" t="s">
        <v>44</v>
      </c>
      <c r="G404" t="s">
        <v>21</v>
      </c>
      <c r="H404" t="s">
        <v>15</v>
      </c>
      <c r="I404" t="s">
        <v>45</v>
      </c>
      <c r="J404">
        <v>5.8198141000000002E-2</v>
      </c>
      <c r="L404">
        <v>110.45440000000001</v>
      </c>
      <c r="M404">
        <v>5</v>
      </c>
    </row>
    <row r="405" spans="1:13" x14ac:dyDescent="0.35">
      <c r="A405" t="s">
        <v>17</v>
      </c>
      <c r="B405">
        <v>404</v>
      </c>
      <c r="C405" t="s">
        <v>410</v>
      </c>
      <c r="D405" t="s">
        <v>41</v>
      </c>
      <c r="E405">
        <v>2018</v>
      </c>
      <c r="F405" t="s">
        <v>44</v>
      </c>
      <c r="G405" t="s">
        <v>21</v>
      </c>
      <c r="H405" t="s">
        <v>15</v>
      </c>
      <c r="I405" t="s">
        <v>45</v>
      </c>
      <c r="J405">
        <v>9.2564193000000003E-2</v>
      </c>
      <c r="L405">
        <v>53.495600000000003</v>
      </c>
      <c r="M405">
        <v>5</v>
      </c>
    </row>
    <row r="406" spans="1:13" x14ac:dyDescent="0.35">
      <c r="A406" t="s">
        <v>17</v>
      </c>
      <c r="B406">
        <v>405</v>
      </c>
      <c r="C406" t="s">
        <v>411</v>
      </c>
      <c r="D406" t="s">
        <v>41</v>
      </c>
      <c r="E406">
        <v>2018</v>
      </c>
      <c r="F406" t="s">
        <v>44</v>
      </c>
      <c r="G406" t="s">
        <v>21</v>
      </c>
      <c r="H406" t="s">
        <v>15</v>
      </c>
      <c r="I406" t="s">
        <v>45</v>
      </c>
      <c r="J406">
        <v>0.12929931</v>
      </c>
      <c r="L406">
        <v>178.23699999999999</v>
      </c>
      <c r="M406">
        <v>5</v>
      </c>
    </row>
    <row r="407" spans="1:13" x14ac:dyDescent="0.35">
      <c r="A407" t="s">
        <v>17</v>
      </c>
      <c r="B407">
        <v>406</v>
      </c>
      <c r="C407" t="s">
        <v>412</v>
      </c>
      <c r="D407" t="s">
        <v>41</v>
      </c>
      <c r="E407">
        <v>2018</v>
      </c>
      <c r="F407" t="s">
        <v>44</v>
      </c>
      <c r="G407" t="s">
        <v>21</v>
      </c>
      <c r="H407" t="s">
        <v>15</v>
      </c>
      <c r="I407" t="s">
        <v>45</v>
      </c>
      <c r="J407">
        <v>7.3879939000000006E-2</v>
      </c>
      <c r="L407">
        <v>94.046199999999999</v>
      </c>
      <c r="M407">
        <v>5</v>
      </c>
    </row>
    <row r="408" spans="1:13" x14ac:dyDescent="0.35">
      <c r="A408" t="s">
        <v>17</v>
      </c>
      <c r="B408">
        <v>407</v>
      </c>
      <c r="C408" t="s">
        <v>379</v>
      </c>
      <c r="D408" t="s">
        <v>41</v>
      </c>
      <c r="E408">
        <v>2018</v>
      </c>
      <c r="F408" t="s">
        <v>44</v>
      </c>
      <c r="G408" t="s">
        <v>21</v>
      </c>
      <c r="H408" t="s">
        <v>15</v>
      </c>
      <c r="I408" t="s">
        <v>45</v>
      </c>
      <c r="J408">
        <v>7.6183666999999997E-2</v>
      </c>
      <c r="L408">
        <v>245.64599999999999</v>
      </c>
      <c r="M408">
        <v>5</v>
      </c>
    </row>
    <row r="409" spans="1:13" x14ac:dyDescent="0.35">
      <c r="A409" t="s">
        <v>17</v>
      </c>
      <c r="B409">
        <v>408</v>
      </c>
      <c r="C409" t="s">
        <v>114</v>
      </c>
      <c r="D409" t="s">
        <v>41</v>
      </c>
      <c r="E409">
        <v>2018</v>
      </c>
      <c r="F409" t="s">
        <v>44</v>
      </c>
      <c r="G409" t="s">
        <v>21</v>
      </c>
      <c r="H409" t="s">
        <v>15</v>
      </c>
      <c r="I409" t="s">
        <v>45</v>
      </c>
      <c r="J409">
        <v>6.6969525000000002E-2</v>
      </c>
      <c r="L409">
        <v>39.279600000000002</v>
      </c>
      <c r="M409">
        <v>5</v>
      </c>
    </row>
    <row r="410" spans="1:13" x14ac:dyDescent="0.35">
      <c r="A410" t="s">
        <v>17</v>
      </c>
      <c r="B410">
        <v>409</v>
      </c>
      <c r="C410" t="s">
        <v>381</v>
      </c>
      <c r="D410" t="s">
        <v>41</v>
      </c>
      <c r="E410">
        <v>2018</v>
      </c>
      <c r="F410" t="s">
        <v>44</v>
      </c>
      <c r="G410" t="s">
        <v>21</v>
      </c>
      <c r="H410" t="s">
        <v>15</v>
      </c>
      <c r="I410" t="s">
        <v>45</v>
      </c>
      <c r="J410">
        <v>1.4153743E-2</v>
      </c>
      <c r="L410">
        <v>145.64179999999999</v>
      </c>
      <c r="M410">
        <v>5</v>
      </c>
    </row>
    <row r="411" spans="1:13" x14ac:dyDescent="0.35">
      <c r="A411" t="s">
        <v>17</v>
      </c>
      <c r="B411">
        <v>410</v>
      </c>
      <c r="C411" t="s">
        <v>413</v>
      </c>
      <c r="D411" t="s">
        <v>41</v>
      </c>
      <c r="E411">
        <v>2018</v>
      </c>
      <c r="F411" t="s">
        <v>44</v>
      </c>
      <c r="G411" t="s">
        <v>21</v>
      </c>
      <c r="H411" t="s">
        <v>15</v>
      </c>
      <c r="I411" t="s">
        <v>45</v>
      </c>
      <c r="J411">
        <v>1.9412192000000002E-2</v>
      </c>
      <c r="L411">
        <v>166.54740000000001</v>
      </c>
      <c r="M411">
        <v>5</v>
      </c>
    </row>
    <row r="412" spans="1:13" x14ac:dyDescent="0.35">
      <c r="A412" t="s">
        <v>17</v>
      </c>
      <c r="B412">
        <v>411</v>
      </c>
      <c r="C412" t="s">
        <v>414</v>
      </c>
      <c r="D412" t="s">
        <v>63</v>
      </c>
      <c r="E412">
        <v>2018</v>
      </c>
      <c r="F412" t="s">
        <v>44</v>
      </c>
      <c r="G412" t="s">
        <v>21</v>
      </c>
      <c r="H412" t="s">
        <v>15</v>
      </c>
      <c r="I412" t="s">
        <v>45</v>
      </c>
      <c r="J412">
        <v>0.117607719</v>
      </c>
      <c r="L412">
        <v>55.258800000000001</v>
      </c>
      <c r="M412">
        <v>5</v>
      </c>
    </row>
    <row r="413" spans="1:13" x14ac:dyDescent="0.35">
      <c r="A413" t="s">
        <v>17</v>
      </c>
      <c r="B413">
        <v>412</v>
      </c>
      <c r="C413" t="s">
        <v>415</v>
      </c>
      <c r="D413" t="s">
        <v>47</v>
      </c>
      <c r="E413">
        <v>2018</v>
      </c>
      <c r="F413" t="s">
        <v>44</v>
      </c>
      <c r="G413" t="s">
        <v>21</v>
      </c>
      <c r="H413" t="s">
        <v>15</v>
      </c>
      <c r="I413" t="s">
        <v>45</v>
      </c>
      <c r="J413">
        <v>0.14057197099999999</v>
      </c>
      <c r="L413">
        <v>154.7998</v>
      </c>
      <c r="M413">
        <v>5</v>
      </c>
    </row>
    <row r="414" spans="1:13" x14ac:dyDescent="0.35">
      <c r="A414" t="s">
        <v>17</v>
      </c>
      <c r="B414">
        <v>413</v>
      </c>
      <c r="C414" t="s">
        <v>416</v>
      </c>
      <c r="D414" t="s">
        <v>47</v>
      </c>
      <c r="E414">
        <v>2018</v>
      </c>
      <c r="F414" t="s">
        <v>44</v>
      </c>
      <c r="G414" t="s">
        <v>21</v>
      </c>
      <c r="H414" t="s">
        <v>15</v>
      </c>
      <c r="I414" t="s">
        <v>45</v>
      </c>
      <c r="J414">
        <v>9.9478450999999996E-2</v>
      </c>
      <c r="L414">
        <v>194.4452</v>
      </c>
      <c r="M414">
        <v>5</v>
      </c>
    </row>
    <row r="415" spans="1:13" x14ac:dyDescent="0.35">
      <c r="A415" t="s">
        <v>17</v>
      </c>
      <c r="B415">
        <v>414</v>
      </c>
      <c r="C415" t="s">
        <v>417</v>
      </c>
      <c r="D415" t="s">
        <v>47</v>
      </c>
      <c r="E415">
        <v>2018</v>
      </c>
      <c r="F415" t="s">
        <v>44</v>
      </c>
      <c r="G415" t="s">
        <v>21</v>
      </c>
      <c r="H415" t="s">
        <v>15</v>
      </c>
      <c r="I415" t="s">
        <v>45</v>
      </c>
      <c r="J415">
        <v>3.3725743000000002E-2</v>
      </c>
      <c r="L415">
        <v>211.6902</v>
      </c>
      <c r="M415">
        <v>5</v>
      </c>
    </row>
    <row r="416" spans="1:13" x14ac:dyDescent="0.35">
      <c r="A416" t="s">
        <v>17</v>
      </c>
      <c r="B416">
        <v>415</v>
      </c>
      <c r="C416" t="s">
        <v>355</v>
      </c>
      <c r="D416" t="s">
        <v>32</v>
      </c>
      <c r="E416">
        <v>2018</v>
      </c>
      <c r="F416" t="s">
        <v>44</v>
      </c>
      <c r="G416" t="s">
        <v>21</v>
      </c>
      <c r="H416" t="s">
        <v>15</v>
      </c>
      <c r="I416" t="s">
        <v>45</v>
      </c>
      <c r="J416">
        <v>5.3113721000000003E-2</v>
      </c>
      <c r="L416">
        <v>44.377000000000002</v>
      </c>
      <c r="M416">
        <v>5</v>
      </c>
    </row>
    <row r="417" spans="1:13" x14ac:dyDescent="0.35">
      <c r="A417" t="s">
        <v>10</v>
      </c>
      <c r="B417">
        <v>416</v>
      </c>
      <c r="C417" t="s">
        <v>418</v>
      </c>
      <c r="D417" t="s">
        <v>94</v>
      </c>
      <c r="E417">
        <v>2018</v>
      </c>
      <c r="F417" t="s">
        <v>44</v>
      </c>
      <c r="G417" t="s">
        <v>21</v>
      </c>
      <c r="H417" t="s">
        <v>15</v>
      </c>
      <c r="I417" t="s">
        <v>45</v>
      </c>
      <c r="J417">
        <v>0</v>
      </c>
      <c r="L417">
        <v>165.58680000000001</v>
      </c>
      <c r="M417">
        <v>5</v>
      </c>
    </row>
    <row r="418" spans="1:13" x14ac:dyDescent="0.35">
      <c r="A418" t="s">
        <v>10</v>
      </c>
      <c r="B418">
        <v>417</v>
      </c>
      <c r="C418" t="s">
        <v>419</v>
      </c>
      <c r="D418" t="s">
        <v>94</v>
      </c>
      <c r="E418">
        <v>2018</v>
      </c>
      <c r="F418" t="s">
        <v>44</v>
      </c>
      <c r="G418" t="s">
        <v>21</v>
      </c>
      <c r="H418" t="s">
        <v>15</v>
      </c>
      <c r="I418" t="s">
        <v>45</v>
      </c>
      <c r="J418">
        <v>6.2954719999999999E-3</v>
      </c>
      <c r="L418">
        <v>122.4098</v>
      </c>
      <c r="M418">
        <v>5</v>
      </c>
    </row>
    <row r="419" spans="1:13" x14ac:dyDescent="0.35">
      <c r="A419" t="s">
        <v>10</v>
      </c>
      <c r="B419">
        <v>418</v>
      </c>
      <c r="C419" t="s">
        <v>420</v>
      </c>
      <c r="D419" t="s">
        <v>94</v>
      </c>
      <c r="E419">
        <v>2018</v>
      </c>
      <c r="F419" t="s">
        <v>44</v>
      </c>
      <c r="G419" t="s">
        <v>21</v>
      </c>
      <c r="H419" t="s">
        <v>15</v>
      </c>
      <c r="I419" t="s">
        <v>45</v>
      </c>
      <c r="J419">
        <v>0.13948429200000001</v>
      </c>
      <c r="L419">
        <v>94.311999999999998</v>
      </c>
      <c r="M419">
        <v>5</v>
      </c>
    </row>
    <row r="420" spans="1:13" x14ac:dyDescent="0.35">
      <c r="A420" t="s">
        <v>10</v>
      </c>
      <c r="B420">
        <v>419</v>
      </c>
      <c r="C420" t="s">
        <v>421</v>
      </c>
      <c r="D420" t="s">
        <v>73</v>
      </c>
      <c r="E420">
        <v>2018</v>
      </c>
      <c r="F420" t="s">
        <v>44</v>
      </c>
      <c r="G420" t="s">
        <v>21</v>
      </c>
      <c r="H420" t="s">
        <v>15</v>
      </c>
      <c r="I420" t="s">
        <v>45</v>
      </c>
      <c r="J420">
        <v>0.15607236099999999</v>
      </c>
      <c r="L420">
        <v>169.34739999999999</v>
      </c>
      <c r="M420">
        <v>5</v>
      </c>
    </row>
    <row r="421" spans="1:13" x14ac:dyDescent="0.35">
      <c r="A421" t="s">
        <v>10</v>
      </c>
      <c r="B421">
        <v>420</v>
      </c>
      <c r="C421" t="s">
        <v>422</v>
      </c>
      <c r="D421" t="s">
        <v>28</v>
      </c>
      <c r="E421">
        <v>2018</v>
      </c>
      <c r="F421" t="s">
        <v>44</v>
      </c>
      <c r="G421" t="s">
        <v>21</v>
      </c>
      <c r="H421" t="s">
        <v>15</v>
      </c>
      <c r="I421" t="s">
        <v>45</v>
      </c>
      <c r="J421">
        <v>0.102226474</v>
      </c>
      <c r="L421">
        <v>91.311999999999998</v>
      </c>
      <c r="M421">
        <v>5</v>
      </c>
    </row>
    <row r="422" spans="1:13" x14ac:dyDescent="0.35">
      <c r="A422" t="s">
        <v>10</v>
      </c>
      <c r="B422">
        <v>421</v>
      </c>
      <c r="C422" t="s">
        <v>395</v>
      </c>
      <c r="D422" t="s">
        <v>28</v>
      </c>
      <c r="E422">
        <v>2018</v>
      </c>
      <c r="F422" t="s">
        <v>44</v>
      </c>
      <c r="G422" t="s">
        <v>21</v>
      </c>
      <c r="H422" t="s">
        <v>15</v>
      </c>
      <c r="I422" t="s">
        <v>45</v>
      </c>
      <c r="J422">
        <v>0.16065368199999999</v>
      </c>
      <c r="L422">
        <v>185.22659999999999</v>
      </c>
      <c r="M422">
        <v>5</v>
      </c>
    </row>
    <row r="423" spans="1:13" x14ac:dyDescent="0.35">
      <c r="A423" t="s">
        <v>10</v>
      </c>
      <c r="B423">
        <v>422</v>
      </c>
      <c r="C423" t="s">
        <v>423</v>
      </c>
      <c r="D423" t="s">
        <v>66</v>
      </c>
      <c r="E423">
        <v>2018</v>
      </c>
      <c r="F423" t="s">
        <v>44</v>
      </c>
      <c r="G423" t="s">
        <v>21</v>
      </c>
      <c r="H423" t="s">
        <v>15</v>
      </c>
      <c r="I423" t="s">
        <v>45</v>
      </c>
      <c r="J423">
        <v>3.7962695999999997E-2</v>
      </c>
      <c r="L423">
        <v>97.572599999999994</v>
      </c>
      <c r="M423">
        <v>5</v>
      </c>
    </row>
    <row r="424" spans="1:13" x14ac:dyDescent="0.35">
      <c r="A424" t="s">
        <v>10</v>
      </c>
      <c r="B424">
        <v>423</v>
      </c>
      <c r="C424" t="s">
        <v>424</v>
      </c>
      <c r="D424" t="s">
        <v>24</v>
      </c>
      <c r="E424">
        <v>2018</v>
      </c>
      <c r="F424" t="s">
        <v>44</v>
      </c>
      <c r="G424" t="s">
        <v>21</v>
      </c>
      <c r="H424" t="s">
        <v>15</v>
      </c>
      <c r="I424" t="s">
        <v>45</v>
      </c>
      <c r="J424">
        <v>9.0473389000000001E-2</v>
      </c>
      <c r="L424">
        <v>229.79839999999999</v>
      </c>
      <c r="M424">
        <v>5</v>
      </c>
    </row>
    <row r="425" spans="1:13" x14ac:dyDescent="0.35">
      <c r="A425" t="s">
        <v>10</v>
      </c>
      <c r="B425">
        <v>424</v>
      </c>
      <c r="C425" t="s">
        <v>425</v>
      </c>
      <c r="D425" t="s">
        <v>12</v>
      </c>
      <c r="E425">
        <v>2018</v>
      </c>
      <c r="F425" t="s">
        <v>44</v>
      </c>
      <c r="G425" t="s">
        <v>21</v>
      </c>
      <c r="H425" t="s">
        <v>15</v>
      </c>
      <c r="I425" t="s">
        <v>45</v>
      </c>
      <c r="J425">
        <v>0.14433849300000001</v>
      </c>
      <c r="L425">
        <v>172.108</v>
      </c>
      <c r="M425">
        <v>5</v>
      </c>
    </row>
    <row r="426" spans="1:13" x14ac:dyDescent="0.35">
      <c r="A426" t="s">
        <v>10</v>
      </c>
      <c r="B426">
        <v>425</v>
      </c>
      <c r="C426" t="s">
        <v>426</v>
      </c>
      <c r="D426" t="s">
        <v>12</v>
      </c>
      <c r="E426">
        <v>2018</v>
      </c>
      <c r="F426" t="s">
        <v>44</v>
      </c>
      <c r="G426" t="s">
        <v>21</v>
      </c>
      <c r="H426" t="s">
        <v>15</v>
      </c>
      <c r="I426" t="s">
        <v>45</v>
      </c>
      <c r="J426">
        <v>3.8313980999999997E-2</v>
      </c>
      <c r="L426">
        <v>109.95699999999999</v>
      </c>
      <c r="M426">
        <v>5</v>
      </c>
    </row>
    <row r="427" spans="1:13" x14ac:dyDescent="0.35">
      <c r="A427" t="s">
        <v>10</v>
      </c>
      <c r="B427">
        <v>426</v>
      </c>
      <c r="C427" t="s">
        <v>427</v>
      </c>
      <c r="D427" t="s">
        <v>53</v>
      </c>
      <c r="E427">
        <v>2018</v>
      </c>
      <c r="F427" t="s">
        <v>44</v>
      </c>
      <c r="G427" t="s">
        <v>21</v>
      </c>
      <c r="H427" t="s">
        <v>15</v>
      </c>
      <c r="I427" t="s">
        <v>45</v>
      </c>
      <c r="J427">
        <v>0.17262968300000001</v>
      </c>
      <c r="L427">
        <v>148.4708</v>
      </c>
      <c r="M427">
        <v>5</v>
      </c>
    </row>
    <row r="428" spans="1:13" x14ac:dyDescent="0.35">
      <c r="A428" t="s">
        <v>10</v>
      </c>
      <c r="B428">
        <v>427</v>
      </c>
      <c r="C428" t="s">
        <v>260</v>
      </c>
      <c r="D428" t="s">
        <v>47</v>
      </c>
      <c r="E428">
        <v>2018</v>
      </c>
      <c r="F428" t="s">
        <v>44</v>
      </c>
      <c r="G428" t="s">
        <v>21</v>
      </c>
      <c r="H428" t="s">
        <v>15</v>
      </c>
      <c r="I428" t="s">
        <v>45</v>
      </c>
      <c r="J428">
        <v>1.0928678000000001E-2</v>
      </c>
      <c r="L428">
        <v>167.08420000000001</v>
      </c>
      <c r="M428">
        <v>5</v>
      </c>
    </row>
    <row r="429" spans="1:13" x14ac:dyDescent="0.3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v>442</v>
      </c>
      <c r="C443" t="s">
        <v>437</v>
      </c>
      <c r="D443" t="s">
        <v>19</v>
      </c>
      <c r="E443">
        <v>2018</v>
      </c>
      <c r="F443" t="s">
        <v>44</v>
      </c>
      <c r="G443" t="s">
        <v>21</v>
      </c>
      <c r="H443" t="s">
        <v>15</v>
      </c>
      <c r="I443" t="s">
        <v>45</v>
      </c>
      <c r="J443">
        <v>0</v>
      </c>
      <c r="L443">
        <v>175.40280000000001</v>
      </c>
      <c r="M443">
        <v>4.9000000000000004</v>
      </c>
    </row>
    <row r="444" spans="1:13" x14ac:dyDescent="0.35">
      <c r="A444" t="s">
        <v>10</v>
      </c>
      <c r="B444">
        <v>443</v>
      </c>
      <c r="C444" t="s">
        <v>438</v>
      </c>
      <c r="D444" t="s">
        <v>47</v>
      </c>
      <c r="E444">
        <v>2012</v>
      </c>
      <c r="F444" t="s">
        <v>13</v>
      </c>
      <c r="G444" t="s">
        <v>14</v>
      </c>
      <c r="H444" t="s">
        <v>15</v>
      </c>
      <c r="I444" t="s">
        <v>16</v>
      </c>
      <c r="J444">
        <v>0.115857223</v>
      </c>
      <c r="K444">
        <v>8.31</v>
      </c>
      <c r="L444">
        <v>179.1028</v>
      </c>
      <c r="M444">
        <v>4.8</v>
      </c>
    </row>
    <row r="445" spans="1:13" x14ac:dyDescent="0.3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v>450</v>
      </c>
      <c r="C451" t="s">
        <v>444</v>
      </c>
      <c r="D451" t="s">
        <v>94</v>
      </c>
      <c r="E451">
        <v>2018</v>
      </c>
      <c r="F451" t="s">
        <v>44</v>
      </c>
      <c r="G451" t="s">
        <v>21</v>
      </c>
      <c r="H451" t="s">
        <v>15</v>
      </c>
      <c r="I451" t="s">
        <v>45</v>
      </c>
      <c r="J451">
        <v>2.1170542000000001E-2</v>
      </c>
      <c r="L451">
        <v>117.61239999999999</v>
      </c>
      <c r="M451">
        <v>4.8</v>
      </c>
    </row>
    <row r="452" spans="1:13" x14ac:dyDescent="0.35">
      <c r="A452" t="s">
        <v>17</v>
      </c>
      <c r="B452">
        <v>451</v>
      </c>
      <c r="C452" t="s">
        <v>445</v>
      </c>
      <c r="D452" t="s">
        <v>12</v>
      </c>
      <c r="E452">
        <v>2012</v>
      </c>
      <c r="F452" t="s">
        <v>13</v>
      </c>
      <c r="G452" t="s">
        <v>14</v>
      </c>
      <c r="H452" t="s">
        <v>15</v>
      </c>
      <c r="I452" t="s">
        <v>16</v>
      </c>
      <c r="J452">
        <v>0</v>
      </c>
      <c r="K452">
        <v>11.5</v>
      </c>
      <c r="L452">
        <v>128.46520000000001</v>
      </c>
      <c r="M452">
        <v>4.8</v>
      </c>
    </row>
    <row r="453" spans="1:13" x14ac:dyDescent="0.3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v>458</v>
      </c>
      <c r="C459" t="s">
        <v>451</v>
      </c>
      <c r="D459" t="s">
        <v>24</v>
      </c>
      <c r="E459">
        <v>2018</v>
      </c>
      <c r="F459" t="s">
        <v>137</v>
      </c>
      <c r="G459" t="s">
        <v>14</v>
      </c>
      <c r="H459" t="s">
        <v>26</v>
      </c>
      <c r="I459" t="s">
        <v>39</v>
      </c>
      <c r="J459">
        <v>0.14359158599999999</v>
      </c>
      <c r="L459">
        <v>213.55340000000001</v>
      </c>
      <c r="M459">
        <v>4.8</v>
      </c>
    </row>
    <row r="460" spans="1:13" x14ac:dyDescent="0.35">
      <c r="A460" t="s">
        <v>17</v>
      </c>
      <c r="B460">
        <v>459</v>
      </c>
      <c r="C460" t="s">
        <v>452</v>
      </c>
      <c r="D460" t="s">
        <v>94</v>
      </c>
      <c r="E460">
        <v>2018</v>
      </c>
      <c r="F460" t="s">
        <v>137</v>
      </c>
      <c r="G460" t="s">
        <v>14</v>
      </c>
      <c r="H460" t="s">
        <v>26</v>
      </c>
      <c r="I460" t="s">
        <v>39</v>
      </c>
      <c r="J460">
        <v>6.1999647999999997E-2</v>
      </c>
      <c r="L460">
        <v>230.001</v>
      </c>
      <c r="M460">
        <v>4.8</v>
      </c>
    </row>
    <row r="461" spans="1:13" x14ac:dyDescent="0.35">
      <c r="A461" t="s">
        <v>17</v>
      </c>
      <c r="B461">
        <v>460</v>
      </c>
      <c r="C461" t="s">
        <v>453</v>
      </c>
      <c r="D461" t="s">
        <v>66</v>
      </c>
      <c r="E461">
        <v>2018</v>
      </c>
      <c r="F461" t="s">
        <v>137</v>
      </c>
      <c r="G461" t="s">
        <v>14</v>
      </c>
      <c r="H461" t="s">
        <v>26</v>
      </c>
      <c r="I461" t="s">
        <v>39</v>
      </c>
      <c r="J461">
        <v>0</v>
      </c>
      <c r="L461">
        <v>51.234999999999999</v>
      </c>
      <c r="M461">
        <v>4.8</v>
      </c>
    </row>
    <row r="462" spans="1:13" x14ac:dyDescent="0.35">
      <c r="A462" t="s">
        <v>17</v>
      </c>
      <c r="B462">
        <v>461</v>
      </c>
      <c r="C462" t="s">
        <v>454</v>
      </c>
      <c r="D462" t="s">
        <v>47</v>
      </c>
      <c r="E462">
        <v>2018</v>
      </c>
      <c r="F462" t="s">
        <v>137</v>
      </c>
      <c r="G462" t="s">
        <v>14</v>
      </c>
      <c r="H462" t="s">
        <v>26</v>
      </c>
      <c r="I462" t="s">
        <v>39</v>
      </c>
      <c r="J462">
        <v>0.16845554900000001</v>
      </c>
      <c r="L462">
        <v>211.06120000000001</v>
      </c>
      <c r="M462">
        <v>4.8</v>
      </c>
    </row>
    <row r="463" spans="1:13" x14ac:dyDescent="0.35">
      <c r="A463" t="s">
        <v>10</v>
      </c>
      <c r="B463">
        <v>462</v>
      </c>
      <c r="C463" t="s">
        <v>455</v>
      </c>
      <c r="D463" t="s">
        <v>66</v>
      </c>
      <c r="E463">
        <v>2018</v>
      </c>
      <c r="F463" t="s">
        <v>137</v>
      </c>
      <c r="G463" t="s">
        <v>14</v>
      </c>
      <c r="H463" t="s">
        <v>26</v>
      </c>
      <c r="I463" t="s">
        <v>39</v>
      </c>
      <c r="J463">
        <v>6.6006824000000006E-2</v>
      </c>
      <c r="L463">
        <v>126.2704</v>
      </c>
      <c r="M463">
        <v>4.8</v>
      </c>
    </row>
    <row r="464" spans="1:13" x14ac:dyDescent="0.35">
      <c r="A464" t="s">
        <v>10</v>
      </c>
      <c r="B464">
        <v>463</v>
      </c>
      <c r="C464" t="s">
        <v>456</v>
      </c>
      <c r="D464" t="s">
        <v>53</v>
      </c>
      <c r="E464">
        <v>2018</v>
      </c>
      <c r="F464" t="s">
        <v>137</v>
      </c>
      <c r="G464" t="s">
        <v>14</v>
      </c>
      <c r="H464" t="s">
        <v>26</v>
      </c>
      <c r="I464" t="s">
        <v>39</v>
      </c>
      <c r="J464">
        <v>5.8545606E-2</v>
      </c>
      <c r="L464">
        <v>155.8314</v>
      </c>
      <c r="M464">
        <v>4.8</v>
      </c>
    </row>
    <row r="465" spans="1:13" x14ac:dyDescent="0.35">
      <c r="A465" t="s">
        <v>10</v>
      </c>
      <c r="B465">
        <v>464</v>
      </c>
      <c r="C465" t="s">
        <v>457</v>
      </c>
      <c r="D465" t="s">
        <v>47</v>
      </c>
      <c r="E465">
        <v>2018</v>
      </c>
      <c r="F465" t="s">
        <v>137</v>
      </c>
      <c r="G465" t="s">
        <v>14</v>
      </c>
      <c r="H465" t="s">
        <v>26</v>
      </c>
      <c r="I465" t="s">
        <v>39</v>
      </c>
      <c r="J465">
        <v>8.0127282999999994E-2</v>
      </c>
      <c r="L465">
        <v>168.7132</v>
      </c>
      <c r="M465">
        <v>4.8</v>
      </c>
    </row>
    <row r="466" spans="1:13" x14ac:dyDescent="0.3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v>471</v>
      </c>
      <c r="C472" t="s">
        <v>290</v>
      </c>
      <c r="D472" t="s">
        <v>28</v>
      </c>
      <c r="E472">
        <v>2015</v>
      </c>
      <c r="F472" t="s">
        <v>33</v>
      </c>
      <c r="G472" t="s">
        <v>34</v>
      </c>
      <c r="H472" t="s">
        <v>15</v>
      </c>
      <c r="I472" t="s">
        <v>16</v>
      </c>
      <c r="J472">
        <v>0.170152831</v>
      </c>
      <c r="K472">
        <v>20.7</v>
      </c>
      <c r="L472">
        <v>182.6266</v>
      </c>
      <c r="M472">
        <v>4.8</v>
      </c>
    </row>
    <row r="473" spans="1:13" x14ac:dyDescent="0.3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486</v>
      </c>
      <c r="D502" t="s">
        <v>47</v>
      </c>
      <c r="E502">
        <v>2022</v>
      </c>
      <c r="F502" t="s">
        <v>20</v>
      </c>
      <c r="G502" t="s">
        <v>21</v>
      </c>
      <c r="H502" t="s">
        <v>15</v>
      </c>
      <c r="I502" t="s">
        <v>22</v>
      </c>
      <c r="J502">
        <v>0</v>
      </c>
      <c r="K502">
        <v>6.67</v>
      </c>
      <c r="L502">
        <v>90.551400000000001</v>
      </c>
      <c r="M502">
        <v>4.8</v>
      </c>
    </row>
    <row r="503" spans="1:13" x14ac:dyDescent="0.35">
      <c r="A503" t="s">
        <v>10</v>
      </c>
      <c r="B503">
        <v>502</v>
      </c>
      <c r="C503" t="s">
        <v>487</v>
      </c>
      <c r="D503" t="s">
        <v>12</v>
      </c>
      <c r="E503">
        <v>2018</v>
      </c>
      <c r="F503" t="s">
        <v>44</v>
      </c>
      <c r="G503" t="s">
        <v>21</v>
      </c>
      <c r="H503" t="s">
        <v>15</v>
      </c>
      <c r="I503" t="s">
        <v>45</v>
      </c>
      <c r="J503">
        <v>4.8738406999999997E-2</v>
      </c>
      <c r="L503">
        <v>152.8682</v>
      </c>
      <c r="M503">
        <v>4.8</v>
      </c>
    </row>
    <row r="504" spans="1:13" x14ac:dyDescent="0.35">
      <c r="A504" t="s">
        <v>10</v>
      </c>
      <c r="B504">
        <v>503</v>
      </c>
      <c r="C504" t="s">
        <v>488</v>
      </c>
      <c r="D504" t="s">
        <v>53</v>
      </c>
      <c r="E504">
        <v>2018</v>
      </c>
      <c r="F504" t="s">
        <v>44</v>
      </c>
      <c r="G504" t="s">
        <v>21</v>
      </c>
      <c r="H504" t="s">
        <v>15</v>
      </c>
      <c r="I504" t="s">
        <v>45</v>
      </c>
      <c r="J504">
        <v>3.670437E-2</v>
      </c>
      <c r="L504">
        <v>228.1352</v>
      </c>
      <c r="M504">
        <v>4.8</v>
      </c>
    </row>
    <row r="505" spans="1:13" x14ac:dyDescent="0.35">
      <c r="A505" t="s">
        <v>10</v>
      </c>
      <c r="B505">
        <v>504</v>
      </c>
      <c r="C505" t="s">
        <v>489</v>
      </c>
      <c r="D505" t="s">
        <v>158</v>
      </c>
      <c r="E505">
        <v>2018</v>
      </c>
      <c r="F505" t="s">
        <v>44</v>
      </c>
      <c r="G505" t="s">
        <v>21</v>
      </c>
      <c r="H505" t="s">
        <v>15</v>
      </c>
      <c r="I505" t="s">
        <v>45</v>
      </c>
      <c r="J505">
        <v>5.436436E-2</v>
      </c>
      <c r="L505">
        <v>63.816800000000001</v>
      </c>
      <c r="M505">
        <v>4.8</v>
      </c>
    </row>
    <row r="506" spans="1:13" x14ac:dyDescent="0.3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120</v>
      </c>
      <c r="D509" t="s">
        <v>94</v>
      </c>
      <c r="E509">
        <v>2018</v>
      </c>
      <c r="F509" t="s">
        <v>44</v>
      </c>
      <c r="G509" t="s">
        <v>21</v>
      </c>
      <c r="H509" t="s">
        <v>15</v>
      </c>
      <c r="I509" t="s">
        <v>45</v>
      </c>
      <c r="J509">
        <v>7.8912472999999997E-2</v>
      </c>
      <c r="L509">
        <v>99.904200000000003</v>
      </c>
      <c r="M509">
        <v>4.7</v>
      </c>
    </row>
    <row r="510" spans="1:13" x14ac:dyDescent="0.3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494</v>
      </c>
      <c r="D513" t="s">
        <v>66</v>
      </c>
      <c r="E513">
        <v>2012</v>
      </c>
      <c r="F513" t="s">
        <v>13</v>
      </c>
      <c r="G513" t="s">
        <v>14</v>
      </c>
      <c r="H513" t="s">
        <v>15</v>
      </c>
      <c r="I513" t="s">
        <v>16</v>
      </c>
      <c r="J513">
        <v>0</v>
      </c>
      <c r="K513">
        <v>6.03</v>
      </c>
      <c r="L513">
        <v>175.1028</v>
      </c>
      <c r="M513">
        <v>4.7</v>
      </c>
    </row>
    <row r="514" spans="1:13" x14ac:dyDescent="0.3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496</v>
      </c>
      <c r="D515" t="s">
        <v>19</v>
      </c>
      <c r="E515">
        <v>2012</v>
      </c>
      <c r="F515" t="s">
        <v>13</v>
      </c>
      <c r="G515" t="s">
        <v>14</v>
      </c>
      <c r="H515" t="s">
        <v>15</v>
      </c>
      <c r="I515" t="s">
        <v>16</v>
      </c>
      <c r="J515">
        <v>1.2657494E-2</v>
      </c>
      <c r="K515">
        <v>16.5</v>
      </c>
      <c r="L515">
        <v>36.3506</v>
      </c>
      <c r="M515">
        <v>4.7</v>
      </c>
    </row>
    <row r="516" spans="1:13" x14ac:dyDescent="0.3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499</v>
      </c>
      <c r="D520" t="s">
        <v>24</v>
      </c>
      <c r="E520">
        <v>2012</v>
      </c>
      <c r="F520" t="s">
        <v>13</v>
      </c>
      <c r="G520" t="s">
        <v>14</v>
      </c>
      <c r="H520" t="s">
        <v>15</v>
      </c>
      <c r="I520" t="s">
        <v>16</v>
      </c>
      <c r="J520">
        <v>0</v>
      </c>
      <c r="K520">
        <v>9.5</v>
      </c>
      <c r="L520">
        <v>228.46680000000001</v>
      </c>
      <c r="M520">
        <v>4.7</v>
      </c>
    </row>
    <row r="521" spans="1:13" x14ac:dyDescent="0.3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v>522</v>
      </c>
      <c r="C523" t="s">
        <v>501</v>
      </c>
      <c r="D523" t="s">
        <v>66</v>
      </c>
      <c r="E523">
        <v>2018</v>
      </c>
      <c r="F523" t="s">
        <v>137</v>
      </c>
      <c r="G523" t="s">
        <v>14</v>
      </c>
      <c r="H523" t="s">
        <v>26</v>
      </c>
      <c r="I523" t="s">
        <v>39</v>
      </c>
      <c r="J523">
        <v>0.17021367600000001</v>
      </c>
      <c r="L523">
        <v>89.585599999999999</v>
      </c>
      <c r="M523">
        <v>4.7</v>
      </c>
    </row>
    <row r="524" spans="1:13" x14ac:dyDescent="0.35">
      <c r="A524" t="s">
        <v>17</v>
      </c>
      <c r="B524">
        <v>523</v>
      </c>
      <c r="C524" t="s">
        <v>218</v>
      </c>
      <c r="D524" t="s">
        <v>47</v>
      </c>
      <c r="E524">
        <v>2018</v>
      </c>
      <c r="F524" t="s">
        <v>137</v>
      </c>
      <c r="G524" t="s">
        <v>14</v>
      </c>
      <c r="H524" t="s">
        <v>26</v>
      </c>
      <c r="I524" t="s">
        <v>39</v>
      </c>
      <c r="J524">
        <v>5.8092550999999999E-2</v>
      </c>
      <c r="L524">
        <v>172.04220000000001</v>
      </c>
      <c r="M524">
        <v>4.7</v>
      </c>
    </row>
    <row r="525" spans="1:13" x14ac:dyDescent="0.35">
      <c r="A525" t="s">
        <v>10</v>
      </c>
      <c r="B525">
        <v>524</v>
      </c>
      <c r="C525" t="s">
        <v>502</v>
      </c>
      <c r="D525" t="s">
        <v>24</v>
      </c>
      <c r="E525">
        <v>2018</v>
      </c>
      <c r="F525" t="s">
        <v>137</v>
      </c>
      <c r="G525" t="s">
        <v>14</v>
      </c>
      <c r="H525" t="s">
        <v>26</v>
      </c>
      <c r="I525" t="s">
        <v>39</v>
      </c>
      <c r="J525">
        <v>7.6868664000000003E-2</v>
      </c>
      <c r="L525">
        <v>62.119399999999999</v>
      </c>
      <c r="M525">
        <v>4.7</v>
      </c>
    </row>
    <row r="526" spans="1:13" x14ac:dyDescent="0.35">
      <c r="A526" t="s">
        <v>10</v>
      </c>
      <c r="B526">
        <v>525</v>
      </c>
      <c r="C526" t="s">
        <v>503</v>
      </c>
      <c r="D526" t="s">
        <v>47</v>
      </c>
      <c r="E526">
        <v>2018</v>
      </c>
      <c r="F526" t="s">
        <v>137</v>
      </c>
      <c r="G526" t="s">
        <v>14</v>
      </c>
      <c r="H526" t="s">
        <v>26</v>
      </c>
      <c r="I526" t="s">
        <v>39</v>
      </c>
      <c r="J526">
        <v>0.127599399</v>
      </c>
      <c r="L526">
        <v>118.9098</v>
      </c>
      <c r="M526">
        <v>4.7</v>
      </c>
    </row>
    <row r="527" spans="1:13" x14ac:dyDescent="0.3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511</v>
      </c>
      <c r="D535" t="s">
        <v>66</v>
      </c>
      <c r="E535">
        <v>2016</v>
      </c>
      <c r="F535" t="s">
        <v>25</v>
      </c>
      <c r="G535" t="s">
        <v>14</v>
      </c>
      <c r="H535" t="s">
        <v>26</v>
      </c>
      <c r="I535" t="s">
        <v>16</v>
      </c>
      <c r="J535">
        <v>0</v>
      </c>
      <c r="K535">
        <v>11.5</v>
      </c>
      <c r="L535">
        <v>88.254000000000005</v>
      </c>
      <c r="M535">
        <v>4.7</v>
      </c>
    </row>
    <row r="536" spans="1:13" x14ac:dyDescent="0.35">
      <c r="A536" t="s">
        <v>10</v>
      </c>
      <c r="B536">
        <v>535</v>
      </c>
      <c r="C536" t="s">
        <v>512</v>
      </c>
      <c r="D536" t="s">
        <v>24</v>
      </c>
      <c r="E536">
        <v>2016</v>
      </c>
      <c r="F536" t="s">
        <v>25</v>
      </c>
      <c r="G536" t="s">
        <v>14</v>
      </c>
      <c r="H536" t="s">
        <v>26</v>
      </c>
      <c r="I536" t="s">
        <v>16</v>
      </c>
      <c r="J536">
        <v>3.0247903E-2</v>
      </c>
      <c r="K536">
        <v>5.88</v>
      </c>
      <c r="L536">
        <v>101.399</v>
      </c>
      <c r="M536">
        <v>4.7</v>
      </c>
    </row>
    <row r="537" spans="1:13" x14ac:dyDescent="0.35">
      <c r="A537" t="s">
        <v>10</v>
      </c>
      <c r="B537">
        <v>536</v>
      </c>
      <c r="C537" t="s">
        <v>315</v>
      </c>
      <c r="D537" t="s">
        <v>53</v>
      </c>
      <c r="E537">
        <v>2016</v>
      </c>
      <c r="F537" t="s">
        <v>25</v>
      </c>
      <c r="G537" t="s">
        <v>14</v>
      </c>
      <c r="H537" t="s">
        <v>26</v>
      </c>
      <c r="I537" t="s">
        <v>16</v>
      </c>
      <c r="J537">
        <v>2.4541277E-2</v>
      </c>
      <c r="K537">
        <v>5.63</v>
      </c>
      <c r="L537">
        <v>105.1306</v>
      </c>
      <c r="M537">
        <v>4.7</v>
      </c>
    </row>
    <row r="538" spans="1:13" x14ac:dyDescent="0.3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v>547</v>
      </c>
      <c r="C548" t="s">
        <v>519</v>
      </c>
      <c r="D548" t="s">
        <v>32</v>
      </c>
      <c r="E548">
        <v>2020</v>
      </c>
      <c r="F548" t="s">
        <v>36</v>
      </c>
      <c r="G548" t="s">
        <v>34</v>
      </c>
      <c r="H548" t="s">
        <v>15</v>
      </c>
      <c r="I548" t="s">
        <v>16</v>
      </c>
      <c r="J548">
        <v>0</v>
      </c>
      <c r="K548">
        <v>8.27</v>
      </c>
      <c r="L548">
        <v>183.29239999999999</v>
      </c>
      <c r="M548">
        <v>4.7</v>
      </c>
    </row>
    <row r="549" spans="1:13" x14ac:dyDescent="0.3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v>570</v>
      </c>
      <c r="C571" t="s">
        <v>533</v>
      </c>
      <c r="D571" t="s">
        <v>47</v>
      </c>
      <c r="E571">
        <v>2014</v>
      </c>
      <c r="F571" t="s">
        <v>29</v>
      </c>
      <c r="G571" t="s">
        <v>21</v>
      </c>
      <c r="H571" t="s">
        <v>30</v>
      </c>
      <c r="I571" t="s">
        <v>16</v>
      </c>
      <c r="J571">
        <v>0.103726639</v>
      </c>
      <c r="K571">
        <v>7.51</v>
      </c>
      <c r="L571">
        <v>110.6544</v>
      </c>
      <c r="M571">
        <v>4.7</v>
      </c>
    </row>
    <row r="572" spans="1:13" x14ac:dyDescent="0.3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258</v>
      </c>
      <c r="D577" t="s">
        <v>47</v>
      </c>
      <c r="E577">
        <v>2022</v>
      </c>
      <c r="F577" t="s">
        <v>20</v>
      </c>
      <c r="G577" t="s">
        <v>21</v>
      </c>
      <c r="H577" t="s">
        <v>15</v>
      </c>
      <c r="I577" t="s">
        <v>22</v>
      </c>
      <c r="J577">
        <v>2.9129907E-2</v>
      </c>
      <c r="K577">
        <v>6.61</v>
      </c>
      <c r="L577">
        <v>188.4898</v>
      </c>
      <c r="M577">
        <v>4.7</v>
      </c>
    </row>
    <row r="578" spans="1:13" x14ac:dyDescent="0.3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v>578</v>
      </c>
      <c r="C579" t="s">
        <v>471</v>
      </c>
      <c r="D579" t="s">
        <v>94</v>
      </c>
      <c r="E579">
        <v>2018</v>
      </c>
      <c r="F579" t="s">
        <v>44</v>
      </c>
      <c r="G579" t="s">
        <v>21</v>
      </c>
      <c r="H579" t="s">
        <v>15</v>
      </c>
      <c r="I579" t="s">
        <v>45</v>
      </c>
      <c r="J579">
        <v>0.10080442000000001</v>
      </c>
      <c r="L579">
        <v>45.474400000000003</v>
      </c>
      <c r="M579">
        <v>4.7</v>
      </c>
    </row>
    <row r="580" spans="1:13" x14ac:dyDescent="0.35">
      <c r="A580" t="s">
        <v>17</v>
      </c>
      <c r="B580">
        <v>579</v>
      </c>
      <c r="C580" t="s">
        <v>536</v>
      </c>
      <c r="D580" t="s">
        <v>28</v>
      </c>
      <c r="E580">
        <v>2018</v>
      </c>
      <c r="F580" t="s">
        <v>44</v>
      </c>
      <c r="G580" t="s">
        <v>21</v>
      </c>
      <c r="H580" t="s">
        <v>15</v>
      </c>
      <c r="I580" t="s">
        <v>45</v>
      </c>
      <c r="J580">
        <v>8.2152451000000001E-2</v>
      </c>
      <c r="L580">
        <v>179.90020000000001</v>
      </c>
      <c r="M580">
        <v>4.7</v>
      </c>
    </row>
    <row r="581" spans="1:13" x14ac:dyDescent="0.35">
      <c r="A581" t="s">
        <v>17</v>
      </c>
      <c r="B581">
        <v>580</v>
      </c>
      <c r="C581" t="s">
        <v>537</v>
      </c>
      <c r="D581" t="s">
        <v>19</v>
      </c>
      <c r="E581">
        <v>2018</v>
      </c>
      <c r="F581" t="s">
        <v>44</v>
      </c>
      <c r="G581" t="s">
        <v>21</v>
      </c>
      <c r="H581" t="s">
        <v>15</v>
      </c>
      <c r="I581" t="s">
        <v>45</v>
      </c>
      <c r="J581">
        <v>3.0347404000000001E-2</v>
      </c>
      <c r="L581">
        <v>192.5162</v>
      </c>
      <c r="M581">
        <v>4.7</v>
      </c>
    </row>
    <row r="582" spans="1:13" x14ac:dyDescent="0.35">
      <c r="A582" t="s">
        <v>17</v>
      </c>
      <c r="B582">
        <v>581</v>
      </c>
      <c r="C582" t="s">
        <v>538</v>
      </c>
      <c r="D582" t="s">
        <v>41</v>
      </c>
      <c r="E582">
        <v>2018</v>
      </c>
      <c r="F582" t="s">
        <v>44</v>
      </c>
      <c r="G582" t="s">
        <v>21</v>
      </c>
      <c r="H582" t="s">
        <v>15</v>
      </c>
      <c r="I582" t="s">
        <v>45</v>
      </c>
      <c r="J582">
        <v>4.1091215E-2</v>
      </c>
      <c r="L582">
        <v>89.551400000000001</v>
      </c>
      <c r="M582">
        <v>4.7</v>
      </c>
    </row>
    <row r="583" spans="1:13" x14ac:dyDescent="0.35">
      <c r="A583" t="s">
        <v>17</v>
      </c>
      <c r="B583">
        <v>582</v>
      </c>
      <c r="C583" t="s">
        <v>539</v>
      </c>
      <c r="D583" t="s">
        <v>32</v>
      </c>
      <c r="E583">
        <v>2018</v>
      </c>
      <c r="F583" t="s">
        <v>44</v>
      </c>
      <c r="G583" t="s">
        <v>21</v>
      </c>
      <c r="H583" t="s">
        <v>15</v>
      </c>
      <c r="I583" t="s">
        <v>45</v>
      </c>
      <c r="J583">
        <v>4.8841794000000001E-2</v>
      </c>
      <c r="L583">
        <v>64.716800000000006</v>
      </c>
      <c r="M583">
        <v>4.7</v>
      </c>
    </row>
    <row r="584" spans="1:13" x14ac:dyDescent="0.35">
      <c r="A584" t="s">
        <v>17</v>
      </c>
      <c r="B584">
        <v>583</v>
      </c>
      <c r="C584" t="s">
        <v>540</v>
      </c>
      <c r="D584" t="s">
        <v>32</v>
      </c>
      <c r="E584">
        <v>2018</v>
      </c>
      <c r="F584" t="s">
        <v>44</v>
      </c>
      <c r="G584" t="s">
        <v>21</v>
      </c>
      <c r="H584" t="s">
        <v>15</v>
      </c>
      <c r="I584" t="s">
        <v>45</v>
      </c>
      <c r="J584">
        <v>0.17423237699999999</v>
      </c>
      <c r="L584">
        <v>146.61019999999999</v>
      </c>
      <c r="M584">
        <v>4.7</v>
      </c>
    </row>
    <row r="585" spans="1:13" x14ac:dyDescent="0.3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v>677</v>
      </c>
      <c r="C678" t="s">
        <v>382</v>
      </c>
      <c r="D678" t="s">
        <v>53</v>
      </c>
      <c r="E678">
        <v>2018</v>
      </c>
      <c r="F678" t="s">
        <v>44</v>
      </c>
      <c r="G678" t="s">
        <v>21</v>
      </c>
      <c r="H678" t="s">
        <v>15</v>
      </c>
      <c r="I678" t="s">
        <v>45</v>
      </c>
      <c r="J678">
        <v>0</v>
      </c>
      <c r="L678">
        <v>109.1938</v>
      </c>
      <c r="M678">
        <v>4.5999999999999996</v>
      </c>
    </row>
    <row r="679" spans="1:13" x14ac:dyDescent="0.35">
      <c r="A679" t="s">
        <v>17</v>
      </c>
      <c r="B679">
        <v>678</v>
      </c>
      <c r="C679" t="s">
        <v>576</v>
      </c>
      <c r="D679" t="s">
        <v>53</v>
      </c>
      <c r="E679">
        <v>2018</v>
      </c>
      <c r="F679" t="s">
        <v>44</v>
      </c>
      <c r="G679" t="s">
        <v>21</v>
      </c>
      <c r="H679" t="s">
        <v>15</v>
      </c>
      <c r="I679" t="s">
        <v>45</v>
      </c>
      <c r="J679">
        <v>0.155541973</v>
      </c>
      <c r="L679">
        <v>159.7578</v>
      </c>
      <c r="M679">
        <v>4.5999999999999996</v>
      </c>
    </row>
    <row r="680" spans="1:13" x14ac:dyDescent="0.3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v>683</v>
      </c>
      <c r="C684" t="s">
        <v>607</v>
      </c>
      <c r="D684" t="s">
        <v>53</v>
      </c>
      <c r="E684">
        <v>2018</v>
      </c>
      <c r="F684" t="s">
        <v>44</v>
      </c>
      <c r="G684" t="s">
        <v>21</v>
      </c>
      <c r="H684" t="s">
        <v>15</v>
      </c>
      <c r="I684" t="s">
        <v>45</v>
      </c>
      <c r="J684">
        <v>0</v>
      </c>
      <c r="L684">
        <v>182.0608</v>
      </c>
      <c r="M684">
        <v>4.5999999999999996</v>
      </c>
    </row>
    <row r="685" spans="1:13" x14ac:dyDescent="0.3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v>697</v>
      </c>
      <c r="C698" t="s">
        <v>251</v>
      </c>
      <c r="D698" t="s">
        <v>28</v>
      </c>
      <c r="E698">
        <v>2018</v>
      </c>
      <c r="F698" t="s">
        <v>44</v>
      </c>
      <c r="G698" t="s">
        <v>21</v>
      </c>
      <c r="H698" t="s">
        <v>15</v>
      </c>
      <c r="I698" t="s">
        <v>45</v>
      </c>
      <c r="J698">
        <v>1.1953902000000001E-2</v>
      </c>
      <c r="L698">
        <v>164.51840000000001</v>
      </c>
      <c r="M698">
        <v>4.5</v>
      </c>
    </row>
    <row r="699" spans="1:13" x14ac:dyDescent="0.3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v>699</v>
      </c>
      <c r="C700" t="s">
        <v>618</v>
      </c>
      <c r="D700" t="s">
        <v>41</v>
      </c>
      <c r="E700">
        <v>2018</v>
      </c>
      <c r="F700" t="s">
        <v>44</v>
      </c>
      <c r="G700" t="s">
        <v>21</v>
      </c>
      <c r="H700" t="s">
        <v>15</v>
      </c>
      <c r="I700" t="s">
        <v>45</v>
      </c>
      <c r="J700">
        <v>5.9776237000000003E-2</v>
      </c>
      <c r="L700">
        <v>231.76419999999999</v>
      </c>
      <c r="M700">
        <v>4.5</v>
      </c>
    </row>
    <row r="701" spans="1:13" x14ac:dyDescent="0.3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v>701</v>
      </c>
      <c r="C702" t="s">
        <v>619</v>
      </c>
      <c r="D702" t="s">
        <v>12</v>
      </c>
      <c r="E702">
        <v>2012</v>
      </c>
      <c r="F702" t="s">
        <v>13</v>
      </c>
      <c r="G702" t="s">
        <v>14</v>
      </c>
      <c r="H702" t="s">
        <v>15</v>
      </c>
      <c r="I702" t="s">
        <v>16</v>
      </c>
      <c r="J702">
        <v>0.100330684</v>
      </c>
      <c r="K702">
        <v>20.7</v>
      </c>
      <c r="L702">
        <v>123.4388</v>
      </c>
      <c r="M702">
        <v>4.5</v>
      </c>
    </row>
    <row r="703" spans="1:13" x14ac:dyDescent="0.3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622</v>
      </c>
      <c r="D705" t="s">
        <v>47</v>
      </c>
      <c r="E705">
        <v>2017</v>
      </c>
      <c r="F705" t="s">
        <v>49</v>
      </c>
      <c r="G705" t="s">
        <v>34</v>
      </c>
      <c r="H705" t="s">
        <v>26</v>
      </c>
      <c r="I705" t="s">
        <v>16</v>
      </c>
      <c r="J705">
        <v>0.128065918</v>
      </c>
      <c r="K705">
        <v>19</v>
      </c>
      <c r="L705">
        <v>104.3622</v>
      </c>
      <c r="M705">
        <v>4.5</v>
      </c>
    </row>
    <row r="706" spans="1:13" x14ac:dyDescent="0.3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v>720</v>
      </c>
      <c r="C721" t="s">
        <v>634</v>
      </c>
      <c r="D721" t="s">
        <v>24</v>
      </c>
      <c r="E721">
        <v>2012</v>
      </c>
      <c r="F721" t="s">
        <v>13</v>
      </c>
      <c r="G721" t="s">
        <v>14</v>
      </c>
      <c r="H721" t="s">
        <v>15</v>
      </c>
      <c r="I721" t="s">
        <v>16</v>
      </c>
      <c r="J721">
        <v>4.2687151E-2</v>
      </c>
      <c r="K721">
        <v>5.19</v>
      </c>
      <c r="L721">
        <v>195.911</v>
      </c>
      <c r="M721">
        <v>4.5</v>
      </c>
    </row>
    <row r="722" spans="1:13" x14ac:dyDescent="0.3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553</v>
      </c>
      <c r="D740" t="s">
        <v>66</v>
      </c>
      <c r="E740">
        <v>2012</v>
      </c>
      <c r="F740" t="s">
        <v>13</v>
      </c>
      <c r="G740" t="s">
        <v>14</v>
      </c>
      <c r="H740" t="s">
        <v>15</v>
      </c>
      <c r="I740" t="s">
        <v>16</v>
      </c>
      <c r="J740">
        <v>0.107223632</v>
      </c>
      <c r="K740">
        <v>11.8</v>
      </c>
      <c r="L740">
        <v>223.5772</v>
      </c>
      <c r="M740">
        <v>4.5</v>
      </c>
    </row>
    <row r="741" spans="1:13" x14ac:dyDescent="0.3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v>745</v>
      </c>
      <c r="C746" t="s">
        <v>515</v>
      </c>
      <c r="D746" t="s">
        <v>66</v>
      </c>
      <c r="E746">
        <v>2018</v>
      </c>
      <c r="F746" t="s">
        <v>137</v>
      </c>
      <c r="G746" t="s">
        <v>14</v>
      </c>
      <c r="H746" t="s">
        <v>26</v>
      </c>
      <c r="I746" t="s">
        <v>39</v>
      </c>
      <c r="J746">
        <v>9.9442328999999996E-2</v>
      </c>
      <c r="L746">
        <v>233.16419999999999</v>
      </c>
      <c r="M746">
        <v>4.5</v>
      </c>
    </row>
    <row r="747" spans="1:13" x14ac:dyDescent="0.35">
      <c r="A747" t="s">
        <v>17</v>
      </c>
      <c r="B747">
        <v>746</v>
      </c>
      <c r="C747" t="s">
        <v>649</v>
      </c>
      <c r="D747" t="s">
        <v>12</v>
      </c>
      <c r="E747">
        <v>2018</v>
      </c>
      <c r="F747" t="s">
        <v>137</v>
      </c>
      <c r="G747" t="s">
        <v>14</v>
      </c>
      <c r="H747" t="s">
        <v>26</v>
      </c>
      <c r="I747" t="s">
        <v>39</v>
      </c>
      <c r="J747">
        <v>0.22628438100000001</v>
      </c>
      <c r="L747">
        <v>163.221</v>
      </c>
      <c r="M747">
        <v>4.5</v>
      </c>
    </row>
    <row r="748" spans="1:13" x14ac:dyDescent="0.35">
      <c r="A748" t="s">
        <v>17</v>
      </c>
      <c r="B748">
        <v>747</v>
      </c>
      <c r="C748" t="s">
        <v>412</v>
      </c>
      <c r="D748" t="s">
        <v>41</v>
      </c>
      <c r="E748">
        <v>2018</v>
      </c>
      <c r="F748" t="s">
        <v>137</v>
      </c>
      <c r="G748" t="s">
        <v>14</v>
      </c>
      <c r="H748" t="s">
        <v>26</v>
      </c>
      <c r="I748" t="s">
        <v>39</v>
      </c>
      <c r="J748">
        <v>0.12998368799999999</v>
      </c>
      <c r="L748">
        <v>93.046199999999999</v>
      </c>
      <c r="M748">
        <v>4.5</v>
      </c>
    </row>
    <row r="749" spans="1:13" x14ac:dyDescent="0.35">
      <c r="A749" t="s">
        <v>17</v>
      </c>
      <c r="B749">
        <v>748</v>
      </c>
      <c r="C749" t="s">
        <v>650</v>
      </c>
      <c r="D749" t="s">
        <v>41</v>
      </c>
      <c r="E749">
        <v>2018</v>
      </c>
      <c r="F749" t="s">
        <v>137</v>
      </c>
      <c r="G749" t="s">
        <v>14</v>
      </c>
      <c r="H749" t="s">
        <v>26</v>
      </c>
      <c r="I749" t="s">
        <v>39</v>
      </c>
      <c r="J749">
        <v>2.7532258E-2</v>
      </c>
      <c r="L749">
        <v>185.0608</v>
      </c>
      <c r="M749">
        <v>4.5</v>
      </c>
    </row>
    <row r="750" spans="1:13" x14ac:dyDescent="0.35">
      <c r="A750" t="s">
        <v>17</v>
      </c>
      <c r="B750">
        <v>749</v>
      </c>
      <c r="C750" t="s">
        <v>651</v>
      </c>
      <c r="D750" t="s">
        <v>41</v>
      </c>
      <c r="E750">
        <v>2018</v>
      </c>
      <c r="F750" t="s">
        <v>137</v>
      </c>
      <c r="G750" t="s">
        <v>14</v>
      </c>
      <c r="H750" t="s">
        <v>26</v>
      </c>
      <c r="I750" t="s">
        <v>39</v>
      </c>
      <c r="J750">
        <v>7.3229342000000003E-2</v>
      </c>
      <c r="L750">
        <v>254.10140000000001</v>
      </c>
      <c r="M750">
        <v>4.5</v>
      </c>
    </row>
    <row r="751" spans="1:13" x14ac:dyDescent="0.35">
      <c r="A751" t="s">
        <v>17</v>
      </c>
      <c r="B751">
        <v>750</v>
      </c>
      <c r="C751" t="s">
        <v>652</v>
      </c>
      <c r="D751" t="s">
        <v>41</v>
      </c>
      <c r="E751">
        <v>2018</v>
      </c>
      <c r="F751" t="s">
        <v>137</v>
      </c>
      <c r="G751" t="s">
        <v>14</v>
      </c>
      <c r="H751" t="s">
        <v>26</v>
      </c>
      <c r="I751" t="s">
        <v>39</v>
      </c>
      <c r="J751">
        <v>0.116750407</v>
      </c>
      <c r="L751">
        <v>195.24780000000001</v>
      </c>
      <c r="M751">
        <v>4.5</v>
      </c>
    </row>
    <row r="752" spans="1:13" x14ac:dyDescent="0.35">
      <c r="A752" t="s">
        <v>17</v>
      </c>
      <c r="B752">
        <v>751</v>
      </c>
      <c r="C752" t="s">
        <v>653</v>
      </c>
      <c r="D752" t="s">
        <v>41</v>
      </c>
      <c r="E752">
        <v>2018</v>
      </c>
      <c r="F752" t="s">
        <v>137</v>
      </c>
      <c r="G752" t="s">
        <v>14</v>
      </c>
      <c r="H752" t="s">
        <v>26</v>
      </c>
      <c r="I752" t="s">
        <v>39</v>
      </c>
      <c r="J752">
        <v>0.14595153299999999</v>
      </c>
      <c r="L752">
        <v>160.95519999999999</v>
      </c>
      <c r="M752">
        <v>4.5</v>
      </c>
    </row>
    <row r="753" spans="1:13" x14ac:dyDescent="0.35">
      <c r="A753" t="s">
        <v>17</v>
      </c>
      <c r="B753">
        <v>752</v>
      </c>
      <c r="C753" t="s">
        <v>467</v>
      </c>
      <c r="D753" t="s">
        <v>63</v>
      </c>
      <c r="E753">
        <v>2018</v>
      </c>
      <c r="F753" t="s">
        <v>137</v>
      </c>
      <c r="G753" t="s">
        <v>14</v>
      </c>
      <c r="H753" t="s">
        <v>26</v>
      </c>
      <c r="I753" t="s">
        <v>39</v>
      </c>
      <c r="J753">
        <v>3.5997636E-2</v>
      </c>
      <c r="L753">
        <v>78.661799999999999</v>
      </c>
      <c r="M753">
        <v>4.5</v>
      </c>
    </row>
    <row r="754" spans="1:13" x14ac:dyDescent="0.35">
      <c r="A754" t="s">
        <v>17</v>
      </c>
      <c r="B754">
        <v>753</v>
      </c>
      <c r="C754" t="s">
        <v>468</v>
      </c>
      <c r="D754" t="s">
        <v>47</v>
      </c>
      <c r="E754">
        <v>2018</v>
      </c>
      <c r="F754" t="s">
        <v>137</v>
      </c>
      <c r="G754" t="s">
        <v>14</v>
      </c>
      <c r="H754" t="s">
        <v>26</v>
      </c>
      <c r="I754" t="s">
        <v>39</v>
      </c>
      <c r="J754">
        <v>0.164006137</v>
      </c>
      <c r="L754">
        <v>113.2834</v>
      </c>
      <c r="M754">
        <v>4.5</v>
      </c>
    </row>
    <row r="755" spans="1:13" x14ac:dyDescent="0.35">
      <c r="A755" t="s">
        <v>17</v>
      </c>
      <c r="B755">
        <v>754</v>
      </c>
      <c r="C755" t="s">
        <v>654</v>
      </c>
      <c r="D755" t="s">
        <v>47</v>
      </c>
      <c r="E755">
        <v>2018</v>
      </c>
      <c r="F755" t="s">
        <v>137</v>
      </c>
      <c r="G755" t="s">
        <v>14</v>
      </c>
      <c r="H755" t="s">
        <v>26</v>
      </c>
      <c r="I755" t="s">
        <v>39</v>
      </c>
      <c r="J755">
        <v>4.6903970000000003E-2</v>
      </c>
      <c r="L755">
        <v>110.657</v>
      </c>
      <c r="M755">
        <v>4.5</v>
      </c>
    </row>
    <row r="756" spans="1:13" x14ac:dyDescent="0.35">
      <c r="A756" t="s">
        <v>17</v>
      </c>
      <c r="B756">
        <v>755</v>
      </c>
      <c r="C756" t="s">
        <v>655</v>
      </c>
      <c r="D756" t="s">
        <v>47</v>
      </c>
      <c r="E756">
        <v>2018</v>
      </c>
      <c r="F756" t="s">
        <v>137</v>
      </c>
      <c r="G756" t="s">
        <v>14</v>
      </c>
      <c r="H756" t="s">
        <v>26</v>
      </c>
      <c r="I756" t="s">
        <v>39</v>
      </c>
      <c r="J756">
        <v>0.18111405899999999</v>
      </c>
      <c r="L756">
        <v>141.64699999999999</v>
      </c>
      <c r="M756">
        <v>4.5</v>
      </c>
    </row>
    <row r="757" spans="1:13" x14ac:dyDescent="0.35">
      <c r="A757" t="s">
        <v>17</v>
      </c>
      <c r="B757">
        <v>756</v>
      </c>
      <c r="C757" t="s">
        <v>656</v>
      </c>
      <c r="D757" t="s">
        <v>32</v>
      </c>
      <c r="E757">
        <v>2018</v>
      </c>
      <c r="F757" t="s">
        <v>137</v>
      </c>
      <c r="G757" t="s">
        <v>14</v>
      </c>
      <c r="H757" t="s">
        <v>26</v>
      </c>
      <c r="I757" t="s">
        <v>39</v>
      </c>
      <c r="J757">
        <v>0.17141731599999999</v>
      </c>
      <c r="L757">
        <v>173.07380000000001</v>
      </c>
      <c r="M757">
        <v>4.5</v>
      </c>
    </row>
    <row r="758" spans="1:13" x14ac:dyDescent="0.35">
      <c r="A758" t="s">
        <v>10</v>
      </c>
      <c r="B758">
        <v>757</v>
      </c>
      <c r="C758" t="s">
        <v>318</v>
      </c>
      <c r="D758" t="s">
        <v>47</v>
      </c>
      <c r="E758">
        <v>2018</v>
      </c>
      <c r="F758" t="s">
        <v>137</v>
      </c>
      <c r="G758" t="s">
        <v>14</v>
      </c>
      <c r="H758" t="s">
        <v>26</v>
      </c>
      <c r="I758" t="s">
        <v>39</v>
      </c>
      <c r="J758">
        <v>0.184359831</v>
      </c>
      <c r="L758">
        <v>172.6764</v>
      </c>
      <c r="M758">
        <v>4.5</v>
      </c>
    </row>
    <row r="759" spans="1:13" x14ac:dyDescent="0.35">
      <c r="A759" t="s">
        <v>10</v>
      </c>
      <c r="B759">
        <v>758</v>
      </c>
      <c r="C759" t="s">
        <v>657</v>
      </c>
      <c r="D759" t="s">
        <v>47</v>
      </c>
      <c r="E759">
        <v>2018</v>
      </c>
      <c r="F759" t="s">
        <v>137</v>
      </c>
      <c r="G759" t="s">
        <v>14</v>
      </c>
      <c r="H759" t="s">
        <v>26</v>
      </c>
      <c r="I759" t="s">
        <v>39</v>
      </c>
      <c r="J759">
        <v>0.11744283799999999</v>
      </c>
      <c r="L759">
        <v>257.73039999999997</v>
      </c>
      <c r="M759">
        <v>4.5</v>
      </c>
    </row>
    <row r="760" spans="1:13" x14ac:dyDescent="0.35">
      <c r="A760" t="s">
        <v>10</v>
      </c>
      <c r="B760">
        <v>759</v>
      </c>
      <c r="C760" t="s">
        <v>658</v>
      </c>
      <c r="D760" t="s">
        <v>47</v>
      </c>
      <c r="E760">
        <v>2018</v>
      </c>
      <c r="F760" t="s">
        <v>137</v>
      </c>
      <c r="G760" t="s">
        <v>14</v>
      </c>
      <c r="H760" t="s">
        <v>26</v>
      </c>
      <c r="I760" t="s">
        <v>39</v>
      </c>
      <c r="J760">
        <v>2.1471456E-2</v>
      </c>
      <c r="L760">
        <v>131.0284</v>
      </c>
      <c r="M760">
        <v>4.5</v>
      </c>
    </row>
    <row r="761" spans="1:13" x14ac:dyDescent="0.35">
      <c r="A761" t="s">
        <v>10</v>
      </c>
      <c r="B761">
        <v>760</v>
      </c>
      <c r="C761" t="s">
        <v>659</v>
      </c>
      <c r="D761" t="s">
        <v>47</v>
      </c>
      <c r="E761">
        <v>2018</v>
      </c>
      <c r="F761" t="s">
        <v>137</v>
      </c>
      <c r="G761" t="s">
        <v>14</v>
      </c>
      <c r="H761" t="s">
        <v>26</v>
      </c>
      <c r="I761" t="s">
        <v>39</v>
      </c>
      <c r="J761">
        <v>0.17018662800000001</v>
      </c>
      <c r="L761">
        <v>159.02619999999999</v>
      </c>
      <c r="M761">
        <v>4.5</v>
      </c>
    </row>
    <row r="762" spans="1:13" x14ac:dyDescent="0.35">
      <c r="A762" t="s">
        <v>17</v>
      </c>
      <c r="B762">
        <v>761</v>
      </c>
      <c r="C762" t="s">
        <v>417</v>
      </c>
      <c r="D762" t="s">
        <v>47</v>
      </c>
      <c r="E762">
        <v>2018</v>
      </c>
      <c r="F762" t="s">
        <v>137</v>
      </c>
      <c r="G762" t="s">
        <v>14</v>
      </c>
      <c r="H762" t="s">
        <v>26</v>
      </c>
      <c r="I762" t="s">
        <v>39</v>
      </c>
      <c r="J762">
        <v>5.9336763000000001E-2</v>
      </c>
      <c r="L762">
        <v>212.1902</v>
      </c>
      <c r="M762">
        <v>4.5</v>
      </c>
    </row>
    <row r="763" spans="1:13" x14ac:dyDescent="0.3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667</v>
      </c>
      <c r="D773" t="s">
        <v>12</v>
      </c>
      <c r="E773">
        <v>2016</v>
      </c>
      <c r="F773" t="s">
        <v>25</v>
      </c>
      <c r="G773" t="s">
        <v>14</v>
      </c>
      <c r="H773" t="s">
        <v>26</v>
      </c>
      <c r="I773" t="s">
        <v>16</v>
      </c>
      <c r="J773">
        <v>0</v>
      </c>
      <c r="K773">
        <v>16.75</v>
      </c>
      <c r="L773">
        <v>255.39879999999999</v>
      </c>
      <c r="M773">
        <v>4.5</v>
      </c>
    </row>
    <row r="774" spans="1:13" x14ac:dyDescent="0.3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v>779</v>
      </c>
      <c r="C780" t="s">
        <v>672</v>
      </c>
      <c r="D780" t="s">
        <v>41</v>
      </c>
      <c r="E780">
        <v>2016</v>
      </c>
      <c r="F780" t="s">
        <v>25</v>
      </c>
      <c r="G780" t="s">
        <v>14</v>
      </c>
      <c r="H780" t="s">
        <v>26</v>
      </c>
      <c r="I780" t="s">
        <v>16</v>
      </c>
      <c r="J780">
        <v>2.4651269E-2</v>
      </c>
      <c r="K780">
        <v>13.15</v>
      </c>
      <c r="L780">
        <v>179.5686</v>
      </c>
      <c r="M780">
        <v>4.5</v>
      </c>
    </row>
    <row r="781" spans="1:13" x14ac:dyDescent="0.35">
      <c r="A781" t="s">
        <v>17</v>
      </c>
      <c r="B781">
        <v>780</v>
      </c>
      <c r="C781" t="s">
        <v>412</v>
      </c>
      <c r="D781" t="s">
        <v>41</v>
      </c>
      <c r="E781">
        <v>2016</v>
      </c>
      <c r="F781" t="s">
        <v>25</v>
      </c>
      <c r="G781" t="s">
        <v>14</v>
      </c>
      <c r="H781" t="s">
        <v>26</v>
      </c>
      <c r="I781" t="s">
        <v>16</v>
      </c>
      <c r="J781">
        <v>0</v>
      </c>
      <c r="K781">
        <v>20.2</v>
      </c>
      <c r="L781">
        <v>94.146199999999993</v>
      </c>
      <c r="M781">
        <v>4.5</v>
      </c>
    </row>
    <row r="782" spans="1:13" x14ac:dyDescent="0.3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669</v>
      </c>
      <c r="D801" t="s">
        <v>19</v>
      </c>
      <c r="E801">
        <v>2015</v>
      </c>
      <c r="F801" t="s">
        <v>33</v>
      </c>
      <c r="G801" t="s">
        <v>34</v>
      </c>
      <c r="H801" t="s">
        <v>26</v>
      </c>
      <c r="I801" t="s">
        <v>16</v>
      </c>
      <c r="J801">
        <v>0</v>
      </c>
      <c r="K801">
        <v>18.2</v>
      </c>
      <c r="L801">
        <v>44.108600000000003</v>
      </c>
      <c r="M801">
        <v>4.5</v>
      </c>
    </row>
    <row r="802" spans="1:13" x14ac:dyDescent="0.35">
      <c r="A802" t="s">
        <v>17</v>
      </c>
      <c r="B802">
        <v>801</v>
      </c>
      <c r="C802" t="s">
        <v>685</v>
      </c>
      <c r="D802" t="s">
        <v>19</v>
      </c>
      <c r="E802">
        <v>2015</v>
      </c>
      <c r="F802" t="s">
        <v>33</v>
      </c>
      <c r="G802" t="s">
        <v>34</v>
      </c>
      <c r="H802" t="s">
        <v>26</v>
      </c>
      <c r="I802" t="s">
        <v>16</v>
      </c>
      <c r="J802">
        <v>0.113833823</v>
      </c>
      <c r="K802">
        <v>21.25</v>
      </c>
      <c r="L802">
        <v>232.83</v>
      </c>
      <c r="M802">
        <v>4.5</v>
      </c>
    </row>
    <row r="803" spans="1:13" x14ac:dyDescent="0.3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448</v>
      </c>
      <c r="D807" t="s">
        <v>32</v>
      </c>
      <c r="E807">
        <v>2015</v>
      </c>
      <c r="F807" t="s">
        <v>33</v>
      </c>
      <c r="G807" t="s">
        <v>34</v>
      </c>
      <c r="H807" t="s">
        <v>26</v>
      </c>
      <c r="I807" t="s">
        <v>16</v>
      </c>
      <c r="J807">
        <v>0</v>
      </c>
      <c r="K807">
        <v>4.59</v>
      </c>
      <c r="L807">
        <v>111.18600000000001</v>
      </c>
      <c r="M807">
        <v>4.5</v>
      </c>
    </row>
    <row r="808" spans="1:13" x14ac:dyDescent="0.3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v>817</v>
      </c>
      <c r="C818" t="s">
        <v>692</v>
      </c>
      <c r="D818" t="s">
        <v>41</v>
      </c>
      <c r="E818">
        <v>2020</v>
      </c>
      <c r="F818" t="s">
        <v>36</v>
      </c>
      <c r="G818" t="s">
        <v>34</v>
      </c>
      <c r="H818" t="s">
        <v>30</v>
      </c>
      <c r="I818" t="s">
        <v>16</v>
      </c>
      <c r="J818">
        <v>0</v>
      </c>
      <c r="K818">
        <v>16.25</v>
      </c>
      <c r="L818">
        <v>115.2176</v>
      </c>
      <c r="M818">
        <v>4.5</v>
      </c>
    </row>
    <row r="819" spans="1:13" x14ac:dyDescent="0.3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v>829</v>
      </c>
      <c r="C830" t="s">
        <v>701</v>
      </c>
      <c r="D830" t="s">
        <v>66</v>
      </c>
      <c r="E830">
        <v>2020</v>
      </c>
      <c r="F830" t="s">
        <v>36</v>
      </c>
      <c r="G830" t="s">
        <v>34</v>
      </c>
      <c r="H830" t="s">
        <v>30</v>
      </c>
      <c r="I830" t="s">
        <v>16</v>
      </c>
      <c r="J830">
        <v>4.7857877E-2</v>
      </c>
      <c r="K830">
        <v>7.71</v>
      </c>
      <c r="L830">
        <v>119.7756</v>
      </c>
      <c r="M830">
        <v>4.5</v>
      </c>
    </row>
    <row r="831" spans="1:13" x14ac:dyDescent="0.3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v>831</v>
      </c>
      <c r="C832" t="s">
        <v>257</v>
      </c>
      <c r="D832" t="s">
        <v>53</v>
      </c>
      <c r="E832">
        <v>2020</v>
      </c>
      <c r="F832" t="s">
        <v>36</v>
      </c>
      <c r="G832" t="s">
        <v>34</v>
      </c>
      <c r="H832" t="s">
        <v>15</v>
      </c>
      <c r="I832" t="s">
        <v>16</v>
      </c>
      <c r="J832">
        <v>0</v>
      </c>
      <c r="K832">
        <v>5.15</v>
      </c>
      <c r="L832">
        <v>122.9388</v>
      </c>
      <c r="M832">
        <v>4.5</v>
      </c>
    </row>
    <row r="833" spans="1:13" x14ac:dyDescent="0.3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v>834</v>
      </c>
      <c r="C835" t="s">
        <v>364</v>
      </c>
      <c r="D835" t="s">
        <v>47</v>
      </c>
      <c r="E835">
        <v>2020</v>
      </c>
      <c r="F835" t="s">
        <v>36</v>
      </c>
      <c r="G835" t="s">
        <v>34</v>
      </c>
      <c r="H835" t="s">
        <v>15</v>
      </c>
      <c r="I835" t="s">
        <v>16</v>
      </c>
      <c r="J835">
        <v>0</v>
      </c>
      <c r="K835">
        <v>9.6</v>
      </c>
      <c r="L835">
        <v>191.0872</v>
      </c>
      <c r="M835">
        <v>4.5</v>
      </c>
    </row>
    <row r="836" spans="1:13" x14ac:dyDescent="0.3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v>836</v>
      </c>
      <c r="C837" t="s">
        <v>703</v>
      </c>
      <c r="D837" t="s">
        <v>56</v>
      </c>
      <c r="E837">
        <v>2015</v>
      </c>
      <c r="F837" t="s">
        <v>33</v>
      </c>
      <c r="G837" t="s">
        <v>34</v>
      </c>
      <c r="H837" t="s">
        <v>15</v>
      </c>
      <c r="I837" t="s">
        <v>16</v>
      </c>
      <c r="J837">
        <v>0</v>
      </c>
      <c r="K837">
        <v>6.44</v>
      </c>
      <c r="L837">
        <v>99.87</v>
      </c>
      <c r="M837">
        <v>4.5</v>
      </c>
    </row>
    <row r="838" spans="1:13" x14ac:dyDescent="0.3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v>847</v>
      </c>
      <c r="C848" t="s">
        <v>454</v>
      </c>
      <c r="D848" t="s">
        <v>47</v>
      </c>
      <c r="E848">
        <v>2017</v>
      </c>
      <c r="F848" t="s">
        <v>49</v>
      </c>
      <c r="G848" t="s">
        <v>34</v>
      </c>
      <c r="H848" t="s">
        <v>26</v>
      </c>
      <c r="I848" t="s">
        <v>16</v>
      </c>
      <c r="J848">
        <v>9.619424E-2</v>
      </c>
      <c r="K848">
        <v>12.6</v>
      </c>
      <c r="L848">
        <v>210.8612</v>
      </c>
      <c r="M848">
        <v>4.5</v>
      </c>
    </row>
    <row r="849" spans="1:13" x14ac:dyDescent="0.3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v>851</v>
      </c>
      <c r="C852" t="s">
        <v>709</v>
      </c>
      <c r="D852" t="s">
        <v>94</v>
      </c>
      <c r="E852">
        <v>2017</v>
      </c>
      <c r="F852" t="s">
        <v>49</v>
      </c>
      <c r="G852" t="s">
        <v>34</v>
      </c>
      <c r="H852" t="s">
        <v>26</v>
      </c>
      <c r="I852" t="s">
        <v>16</v>
      </c>
      <c r="J852">
        <v>0</v>
      </c>
      <c r="K852">
        <v>11.85</v>
      </c>
      <c r="L852">
        <v>51.266599999999997</v>
      </c>
      <c r="M852">
        <v>4.5</v>
      </c>
    </row>
    <row r="853" spans="1:13" x14ac:dyDescent="0.3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v>856</v>
      </c>
      <c r="C857" t="s">
        <v>258</v>
      </c>
      <c r="D857" t="s">
        <v>47</v>
      </c>
      <c r="E857">
        <v>2017</v>
      </c>
      <c r="F857" t="s">
        <v>49</v>
      </c>
      <c r="G857" t="s">
        <v>34</v>
      </c>
      <c r="H857" t="s">
        <v>26</v>
      </c>
      <c r="I857" t="s">
        <v>16</v>
      </c>
      <c r="J857">
        <v>2.9006239E-2</v>
      </c>
      <c r="K857">
        <v>6.61</v>
      </c>
      <c r="L857">
        <v>186.0898</v>
      </c>
      <c r="M857">
        <v>4.5</v>
      </c>
    </row>
    <row r="858" spans="1:13" x14ac:dyDescent="0.35">
      <c r="A858" t="s">
        <v>10</v>
      </c>
      <c r="B858">
        <v>857</v>
      </c>
      <c r="C858" t="s">
        <v>712</v>
      </c>
      <c r="D858" t="s">
        <v>47</v>
      </c>
      <c r="E858">
        <v>2017</v>
      </c>
      <c r="F858" t="s">
        <v>49</v>
      </c>
      <c r="G858" t="s">
        <v>34</v>
      </c>
      <c r="H858" t="s">
        <v>26</v>
      </c>
      <c r="I858" t="s">
        <v>16</v>
      </c>
      <c r="J858">
        <v>0.14460413</v>
      </c>
      <c r="K858">
        <v>7.21</v>
      </c>
      <c r="L858">
        <v>102.6332</v>
      </c>
      <c r="M858">
        <v>4.5</v>
      </c>
    </row>
    <row r="859" spans="1:13" x14ac:dyDescent="0.3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v>882</v>
      </c>
      <c r="C883" t="s">
        <v>477</v>
      </c>
      <c r="D883" t="s">
        <v>94</v>
      </c>
      <c r="E883">
        <v>2014</v>
      </c>
      <c r="F883" t="s">
        <v>29</v>
      </c>
      <c r="G883" t="s">
        <v>21</v>
      </c>
      <c r="H883" t="s">
        <v>30</v>
      </c>
      <c r="I883" t="s">
        <v>16</v>
      </c>
      <c r="J883">
        <v>0</v>
      </c>
      <c r="K883">
        <v>13.5</v>
      </c>
      <c r="L883">
        <v>88.054000000000002</v>
      </c>
      <c r="M883">
        <v>4.5</v>
      </c>
    </row>
    <row r="884" spans="1:13" x14ac:dyDescent="0.3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74</v>
      </c>
      <c r="D890" t="s">
        <v>41</v>
      </c>
      <c r="E890">
        <v>2014</v>
      </c>
      <c r="F890" t="s">
        <v>29</v>
      </c>
      <c r="G890" t="s">
        <v>21</v>
      </c>
      <c r="H890" t="s">
        <v>30</v>
      </c>
      <c r="I890" t="s">
        <v>16</v>
      </c>
      <c r="J890">
        <v>0</v>
      </c>
      <c r="K890">
        <v>5.82</v>
      </c>
      <c r="L890">
        <v>169.37899999999999</v>
      </c>
      <c r="M890">
        <v>4.5</v>
      </c>
    </row>
    <row r="891" spans="1:13" x14ac:dyDescent="0.3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730</v>
      </c>
      <c r="D895" t="s">
        <v>28</v>
      </c>
      <c r="E895">
        <v>2014</v>
      </c>
      <c r="F895" t="s">
        <v>29</v>
      </c>
      <c r="G895" t="s">
        <v>21</v>
      </c>
      <c r="H895" t="s">
        <v>30</v>
      </c>
      <c r="I895" t="s">
        <v>16</v>
      </c>
      <c r="J895">
        <v>2.076385E-2</v>
      </c>
      <c r="K895">
        <v>7.27</v>
      </c>
      <c r="L895">
        <v>89.0488</v>
      </c>
      <c r="M895">
        <v>4.5</v>
      </c>
    </row>
    <row r="896" spans="1:13" x14ac:dyDescent="0.3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733</v>
      </c>
      <c r="D898" t="s">
        <v>12</v>
      </c>
      <c r="E898">
        <v>2014</v>
      </c>
      <c r="F898" t="s">
        <v>29</v>
      </c>
      <c r="G898" t="s">
        <v>21</v>
      </c>
      <c r="H898" t="s">
        <v>30</v>
      </c>
      <c r="I898" t="s">
        <v>16</v>
      </c>
      <c r="J898">
        <v>0.106238768</v>
      </c>
      <c r="K898">
        <v>12.3</v>
      </c>
      <c r="L898">
        <v>176.1396</v>
      </c>
      <c r="M898">
        <v>4.5</v>
      </c>
    </row>
    <row r="899" spans="1:13" x14ac:dyDescent="0.3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735</v>
      </c>
      <c r="D902" t="s">
        <v>158</v>
      </c>
      <c r="E902">
        <v>2022</v>
      </c>
      <c r="F902" t="s">
        <v>20</v>
      </c>
      <c r="G902" t="s">
        <v>21</v>
      </c>
      <c r="H902" t="s">
        <v>15</v>
      </c>
      <c r="I902" t="s">
        <v>22</v>
      </c>
      <c r="J902">
        <v>0</v>
      </c>
      <c r="K902">
        <v>12.85</v>
      </c>
      <c r="L902">
        <v>253.00399999999999</v>
      </c>
      <c r="M902">
        <v>4.5</v>
      </c>
    </row>
    <row r="903" spans="1:13" x14ac:dyDescent="0.35">
      <c r="A903" t="s">
        <v>17</v>
      </c>
      <c r="B903">
        <v>902</v>
      </c>
      <c r="C903" t="s">
        <v>736</v>
      </c>
      <c r="D903" t="s">
        <v>94</v>
      </c>
      <c r="E903">
        <v>2022</v>
      </c>
      <c r="F903" t="s">
        <v>20</v>
      </c>
      <c r="G903" t="s">
        <v>21</v>
      </c>
      <c r="H903" t="s">
        <v>15</v>
      </c>
      <c r="I903" t="s">
        <v>22</v>
      </c>
      <c r="J903">
        <v>0</v>
      </c>
      <c r="K903">
        <v>15.6</v>
      </c>
      <c r="L903">
        <v>111.8544</v>
      </c>
      <c r="M903">
        <v>4.5</v>
      </c>
    </row>
    <row r="904" spans="1:13" x14ac:dyDescent="0.35">
      <c r="A904" t="s">
        <v>17</v>
      </c>
      <c r="B904">
        <v>903</v>
      </c>
      <c r="C904" t="s">
        <v>290</v>
      </c>
      <c r="D904" t="s">
        <v>28</v>
      </c>
      <c r="E904">
        <v>2022</v>
      </c>
      <c r="F904" t="s">
        <v>20</v>
      </c>
      <c r="G904" t="s">
        <v>21</v>
      </c>
      <c r="H904" t="s">
        <v>15</v>
      </c>
      <c r="I904" t="s">
        <v>22</v>
      </c>
      <c r="J904">
        <v>0.170500183</v>
      </c>
      <c r="K904">
        <v>20.7</v>
      </c>
      <c r="L904">
        <v>184.1266</v>
      </c>
      <c r="M904">
        <v>4.5</v>
      </c>
    </row>
    <row r="905" spans="1:13" x14ac:dyDescent="0.35">
      <c r="A905" t="s">
        <v>17</v>
      </c>
      <c r="B905">
        <v>904</v>
      </c>
      <c r="C905" t="s">
        <v>737</v>
      </c>
      <c r="D905" t="s">
        <v>24</v>
      </c>
      <c r="E905">
        <v>2022</v>
      </c>
      <c r="F905" t="s">
        <v>20</v>
      </c>
      <c r="G905" t="s">
        <v>21</v>
      </c>
      <c r="H905" t="s">
        <v>15</v>
      </c>
      <c r="I905" t="s">
        <v>22</v>
      </c>
      <c r="J905">
        <v>0.119871307</v>
      </c>
      <c r="K905">
        <v>17</v>
      </c>
      <c r="L905">
        <v>248.3434</v>
      </c>
      <c r="M905">
        <v>4.5</v>
      </c>
    </row>
    <row r="906" spans="1:13" x14ac:dyDescent="0.3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599</v>
      </c>
      <c r="D915" t="s">
        <v>47</v>
      </c>
      <c r="E915">
        <v>2022</v>
      </c>
      <c r="F915" t="s">
        <v>20</v>
      </c>
      <c r="G915" t="s">
        <v>21</v>
      </c>
      <c r="H915" t="s">
        <v>15</v>
      </c>
      <c r="I915" t="s">
        <v>22</v>
      </c>
      <c r="J915">
        <v>0</v>
      </c>
      <c r="K915">
        <v>15.25</v>
      </c>
      <c r="L915">
        <v>179.76599999999999</v>
      </c>
      <c r="M915">
        <v>4.5</v>
      </c>
    </row>
    <row r="916" spans="1:13" x14ac:dyDescent="0.35">
      <c r="A916" t="s">
        <v>17</v>
      </c>
      <c r="B916">
        <v>915</v>
      </c>
      <c r="C916" t="s">
        <v>744</v>
      </c>
      <c r="D916" t="s">
        <v>56</v>
      </c>
      <c r="E916">
        <v>2018</v>
      </c>
      <c r="F916" t="s">
        <v>44</v>
      </c>
      <c r="G916" t="s">
        <v>21</v>
      </c>
      <c r="H916" t="s">
        <v>15</v>
      </c>
      <c r="I916" t="s">
        <v>45</v>
      </c>
      <c r="J916">
        <v>6.8765925000000006E-2</v>
      </c>
      <c r="L916">
        <v>216.91659999999999</v>
      </c>
      <c r="M916">
        <v>4.5</v>
      </c>
    </row>
    <row r="917" spans="1:13" x14ac:dyDescent="0.35">
      <c r="A917" t="s">
        <v>17</v>
      </c>
      <c r="B917">
        <v>916</v>
      </c>
      <c r="C917" t="s">
        <v>745</v>
      </c>
      <c r="D917" t="s">
        <v>56</v>
      </c>
      <c r="E917">
        <v>2018</v>
      </c>
      <c r="F917" t="s">
        <v>44</v>
      </c>
      <c r="G917" t="s">
        <v>21</v>
      </c>
      <c r="H917" t="s">
        <v>15</v>
      </c>
      <c r="I917" t="s">
        <v>45</v>
      </c>
      <c r="J917">
        <v>8.1391459999999999E-2</v>
      </c>
      <c r="L917">
        <v>177.83699999999999</v>
      </c>
      <c r="M917">
        <v>4.5</v>
      </c>
    </row>
    <row r="918" spans="1:13" x14ac:dyDescent="0.35">
      <c r="A918" t="s">
        <v>17</v>
      </c>
      <c r="B918">
        <v>917</v>
      </c>
      <c r="C918" t="s">
        <v>746</v>
      </c>
      <c r="D918" t="s">
        <v>66</v>
      </c>
      <c r="E918">
        <v>2018</v>
      </c>
      <c r="F918" t="s">
        <v>44</v>
      </c>
      <c r="G918" t="s">
        <v>21</v>
      </c>
      <c r="H918" t="s">
        <v>15</v>
      </c>
      <c r="I918" t="s">
        <v>45</v>
      </c>
      <c r="J918">
        <v>5.5121891999999999E-2</v>
      </c>
      <c r="L918">
        <v>196.77680000000001</v>
      </c>
      <c r="M918">
        <v>4.5</v>
      </c>
    </row>
    <row r="919" spans="1:13" x14ac:dyDescent="0.35">
      <c r="A919" t="s">
        <v>17</v>
      </c>
      <c r="B919">
        <v>918</v>
      </c>
      <c r="C919" t="s">
        <v>226</v>
      </c>
      <c r="D919" t="s">
        <v>66</v>
      </c>
      <c r="E919">
        <v>2018</v>
      </c>
      <c r="F919" t="s">
        <v>44</v>
      </c>
      <c r="G919" t="s">
        <v>21</v>
      </c>
      <c r="H919" t="s">
        <v>15</v>
      </c>
      <c r="I919" t="s">
        <v>45</v>
      </c>
      <c r="J919">
        <v>5.2097910000000001E-3</v>
      </c>
      <c r="L919">
        <v>265.28840000000002</v>
      </c>
      <c r="M919">
        <v>4.5</v>
      </c>
    </row>
    <row r="920" spans="1:13" x14ac:dyDescent="0.35">
      <c r="A920" t="s">
        <v>17</v>
      </c>
      <c r="B920">
        <v>919</v>
      </c>
      <c r="C920" t="s">
        <v>747</v>
      </c>
      <c r="D920" t="s">
        <v>24</v>
      </c>
      <c r="E920">
        <v>2018</v>
      </c>
      <c r="F920" t="s">
        <v>44</v>
      </c>
      <c r="G920" t="s">
        <v>21</v>
      </c>
      <c r="H920" t="s">
        <v>15</v>
      </c>
      <c r="I920" t="s">
        <v>45</v>
      </c>
      <c r="J920">
        <v>6.5272284E-2</v>
      </c>
      <c r="L920">
        <v>256.16460000000001</v>
      </c>
      <c r="M920">
        <v>4.5</v>
      </c>
    </row>
    <row r="921" spans="1:13" x14ac:dyDescent="0.35">
      <c r="A921" t="s">
        <v>17</v>
      </c>
      <c r="B921">
        <v>920</v>
      </c>
      <c r="C921" t="s">
        <v>748</v>
      </c>
      <c r="D921" t="s">
        <v>24</v>
      </c>
      <c r="E921">
        <v>2018</v>
      </c>
      <c r="F921" t="s">
        <v>44</v>
      </c>
      <c r="G921" t="s">
        <v>21</v>
      </c>
      <c r="H921" t="s">
        <v>15</v>
      </c>
      <c r="I921" t="s">
        <v>45</v>
      </c>
      <c r="J921">
        <v>0</v>
      </c>
      <c r="L921">
        <v>225.30619999999999</v>
      </c>
      <c r="M921">
        <v>4.5</v>
      </c>
    </row>
    <row r="922" spans="1:13" x14ac:dyDescent="0.35">
      <c r="A922" t="s">
        <v>17</v>
      </c>
      <c r="B922">
        <v>921</v>
      </c>
      <c r="C922" t="s">
        <v>749</v>
      </c>
      <c r="D922" t="s">
        <v>24</v>
      </c>
      <c r="E922">
        <v>2018</v>
      </c>
      <c r="F922" t="s">
        <v>44</v>
      </c>
      <c r="G922" t="s">
        <v>21</v>
      </c>
      <c r="H922" t="s">
        <v>15</v>
      </c>
      <c r="I922" t="s">
        <v>45</v>
      </c>
      <c r="J922">
        <v>6.3462047999999993E-2</v>
      </c>
      <c r="L922">
        <v>157.56299999999999</v>
      </c>
      <c r="M922">
        <v>4.5</v>
      </c>
    </row>
    <row r="923" spans="1:13" x14ac:dyDescent="0.35">
      <c r="A923" t="s">
        <v>17</v>
      </c>
      <c r="B923">
        <v>922</v>
      </c>
      <c r="C923" t="s">
        <v>573</v>
      </c>
      <c r="D923" t="s">
        <v>19</v>
      </c>
      <c r="E923">
        <v>2018</v>
      </c>
      <c r="F923" t="s">
        <v>44</v>
      </c>
      <c r="G923" t="s">
        <v>21</v>
      </c>
      <c r="H923" t="s">
        <v>15</v>
      </c>
      <c r="I923" t="s">
        <v>45</v>
      </c>
      <c r="J923">
        <v>7.7079176999999999E-2</v>
      </c>
      <c r="L923">
        <v>61.553600000000003</v>
      </c>
      <c r="M923">
        <v>4.5</v>
      </c>
    </row>
    <row r="924" spans="1:13" x14ac:dyDescent="0.35">
      <c r="A924" t="s">
        <v>17</v>
      </c>
      <c r="B924">
        <v>923</v>
      </c>
      <c r="C924" t="s">
        <v>750</v>
      </c>
      <c r="D924" t="s">
        <v>41</v>
      </c>
      <c r="E924">
        <v>2018</v>
      </c>
      <c r="F924" t="s">
        <v>44</v>
      </c>
      <c r="G924" t="s">
        <v>21</v>
      </c>
      <c r="H924" t="s">
        <v>15</v>
      </c>
      <c r="I924" t="s">
        <v>45</v>
      </c>
      <c r="J924">
        <v>0.14258975099999999</v>
      </c>
      <c r="L924">
        <v>35.918999999999997</v>
      </c>
      <c r="M924">
        <v>4.5</v>
      </c>
    </row>
    <row r="925" spans="1:13" x14ac:dyDescent="0.35">
      <c r="A925" t="s">
        <v>17</v>
      </c>
      <c r="B925">
        <v>924</v>
      </c>
      <c r="C925" t="s">
        <v>377</v>
      </c>
      <c r="D925" t="s">
        <v>41</v>
      </c>
      <c r="E925">
        <v>2018</v>
      </c>
      <c r="F925" t="s">
        <v>44</v>
      </c>
      <c r="G925" t="s">
        <v>21</v>
      </c>
      <c r="H925" t="s">
        <v>15</v>
      </c>
      <c r="I925" t="s">
        <v>45</v>
      </c>
      <c r="J925">
        <v>9.1042210999999998E-2</v>
      </c>
      <c r="L925">
        <v>162.68940000000001</v>
      </c>
      <c r="M925">
        <v>4.5</v>
      </c>
    </row>
    <row r="926" spans="1:13" x14ac:dyDescent="0.35">
      <c r="A926" t="s">
        <v>17</v>
      </c>
      <c r="B926">
        <v>925</v>
      </c>
      <c r="C926" t="s">
        <v>147</v>
      </c>
      <c r="D926" t="s">
        <v>41</v>
      </c>
      <c r="E926">
        <v>2018</v>
      </c>
      <c r="F926" t="s">
        <v>44</v>
      </c>
      <c r="G926" t="s">
        <v>21</v>
      </c>
      <c r="H926" t="s">
        <v>15</v>
      </c>
      <c r="I926" t="s">
        <v>45</v>
      </c>
      <c r="J926">
        <v>5.2247806000000001E-2</v>
      </c>
      <c r="L926">
        <v>190.85300000000001</v>
      </c>
      <c r="M926">
        <v>4.5</v>
      </c>
    </row>
    <row r="927" spans="1:13" x14ac:dyDescent="0.35">
      <c r="A927" t="s">
        <v>17</v>
      </c>
      <c r="B927">
        <v>926</v>
      </c>
      <c r="C927" t="s">
        <v>751</v>
      </c>
      <c r="D927" t="s">
        <v>41</v>
      </c>
      <c r="E927">
        <v>2018</v>
      </c>
      <c r="F927" t="s">
        <v>44</v>
      </c>
      <c r="G927" t="s">
        <v>21</v>
      </c>
      <c r="H927" t="s">
        <v>15</v>
      </c>
      <c r="I927" t="s">
        <v>45</v>
      </c>
      <c r="J927">
        <v>7.2317217000000003E-2</v>
      </c>
      <c r="L927">
        <v>160.792</v>
      </c>
      <c r="M927">
        <v>4.5</v>
      </c>
    </row>
    <row r="928" spans="1:13" x14ac:dyDescent="0.35">
      <c r="A928" t="s">
        <v>17</v>
      </c>
      <c r="B928">
        <v>927</v>
      </c>
      <c r="C928" t="s">
        <v>240</v>
      </c>
      <c r="D928" t="s">
        <v>41</v>
      </c>
      <c r="E928">
        <v>2018</v>
      </c>
      <c r="F928" t="s">
        <v>44</v>
      </c>
      <c r="G928" t="s">
        <v>21</v>
      </c>
      <c r="H928" t="s">
        <v>15</v>
      </c>
      <c r="I928" t="s">
        <v>45</v>
      </c>
      <c r="J928">
        <v>5.911748E-2</v>
      </c>
      <c r="L928">
        <v>181.5976</v>
      </c>
      <c r="M928">
        <v>4.5</v>
      </c>
    </row>
    <row r="929" spans="1:13" x14ac:dyDescent="0.35">
      <c r="A929" t="s">
        <v>17</v>
      </c>
      <c r="B929">
        <v>928</v>
      </c>
      <c r="C929" t="s">
        <v>752</v>
      </c>
      <c r="D929" t="s">
        <v>41</v>
      </c>
      <c r="E929">
        <v>2018</v>
      </c>
      <c r="F929" t="s">
        <v>44</v>
      </c>
      <c r="G929" t="s">
        <v>21</v>
      </c>
      <c r="H929" t="s">
        <v>15</v>
      </c>
      <c r="I929" t="s">
        <v>45</v>
      </c>
      <c r="J929">
        <v>9.370568E-2</v>
      </c>
      <c r="L929">
        <v>253.8698</v>
      </c>
      <c r="M929">
        <v>4.5</v>
      </c>
    </row>
    <row r="930" spans="1:13" x14ac:dyDescent="0.35">
      <c r="A930" t="s">
        <v>17</v>
      </c>
      <c r="B930">
        <v>929</v>
      </c>
      <c r="C930" t="s">
        <v>753</v>
      </c>
      <c r="D930" t="s">
        <v>63</v>
      </c>
      <c r="E930">
        <v>2018</v>
      </c>
      <c r="F930" t="s">
        <v>44</v>
      </c>
      <c r="G930" t="s">
        <v>21</v>
      </c>
      <c r="H930" t="s">
        <v>15</v>
      </c>
      <c r="I930" t="s">
        <v>45</v>
      </c>
      <c r="J930">
        <v>3.1186800000000001E-2</v>
      </c>
      <c r="L930">
        <v>39.548000000000002</v>
      </c>
      <c r="M930">
        <v>4.5</v>
      </c>
    </row>
    <row r="931" spans="1:13" x14ac:dyDescent="0.35">
      <c r="A931" t="s">
        <v>10</v>
      </c>
      <c r="B931">
        <v>930</v>
      </c>
      <c r="C931" t="s">
        <v>754</v>
      </c>
      <c r="D931" t="s">
        <v>94</v>
      </c>
      <c r="E931">
        <v>2018</v>
      </c>
      <c r="F931" t="s">
        <v>44</v>
      </c>
      <c r="G931" t="s">
        <v>21</v>
      </c>
      <c r="H931" t="s">
        <v>15</v>
      </c>
      <c r="I931" t="s">
        <v>45</v>
      </c>
      <c r="J931">
        <v>2.524761E-2</v>
      </c>
      <c r="L931">
        <v>81.993399999999994</v>
      </c>
      <c r="M931">
        <v>4.5</v>
      </c>
    </row>
    <row r="932" spans="1:13" x14ac:dyDescent="0.35">
      <c r="A932" t="s">
        <v>10</v>
      </c>
      <c r="B932">
        <v>931</v>
      </c>
      <c r="C932" t="s">
        <v>724</v>
      </c>
      <c r="D932" t="s">
        <v>28</v>
      </c>
      <c r="E932">
        <v>2018</v>
      </c>
      <c r="F932" t="s">
        <v>44</v>
      </c>
      <c r="G932" t="s">
        <v>21</v>
      </c>
      <c r="H932" t="s">
        <v>15</v>
      </c>
      <c r="I932" t="s">
        <v>45</v>
      </c>
      <c r="J932">
        <v>4.6408928000000002E-2</v>
      </c>
      <c r="L932">
        <v>153.2998</v>
      </c>
      <c r="M932">
        <v>4.5</v>
      </c>
    </row>
    <row r="933" spans="1:13" x14ac:dyDescent="0.35">
      <c r="A933" t="s">
        <v>10</v>
      </c>
      <c r="B933">
        <v>932</v>
      </c>
      <c r="C933" t="s">
        <v>755</v>
      </c>
      <c r="D933" t="s">
        <v>24</v>
      </c>
      <c r="E933">
        <v>2018</v>
      </c>
      <c r="F933" t="s">
        <v>44</v>
      </c>
      <c r="G933" t="s">
        <v>21</v>
      </c>
      <c r="H933" t="s">
        <v>15</v>
      </c>
      <c r="I933" t="s">
        <v>45</v>
      </c>
      <c r="J933">
        <v>7.9954799999999993E-3</v>
      </c>
      <c r="L933">
        <v>78.561800000000005</v>
      </c>
      <c r="M933">
        <v>4.5</v>
      </c>
    </row>
    <row r="934" spans="1:13" x14ac:dyDescent="0.35">
      <c r="A934" t="s">
        <v>10</v>
      </c>
      <c r="B934">
        <v>933</v>
      </c>
      <c r="C934" t="s">
        <v>756</v>
      </c>
      <c r="D934" t="s">
        <v>24</v>
      </c>
      <c r="E934">
        <v>2018</v>
      </c>
      <c r="F934" t="s">
        <v>44</v>
      </c>
      <c r="G934" t="s">
        <v>21</v>
      </c>
      <c r="H934" t="s">
        <v>15</v>
      </c>
      <c r="I934" t="s">
        <v>45</v>
      </c>
      <c r="J934">
        <v>4.1273391E-2</v>
      </c>
      <c r="L934">
        <v>91.680400000000006</v>
      </c>
      <c r="M934">
        <v>4.5</v>
      </c>
    </row>
    <row r="935" spans="1:13" x14ac:dyDescent="0.35">
      <c r="A935" t="s">
        <v>10</v>
      </c>
      <c r="B935">
        <v>934</v>
      </c>
      <c r="C935" t="s">
        <v>757</v>
      </c>
      <c r="D935" t="s">
        <v>24</v>
      </c>
      <c r="E935">
        <v>2018</v>
      </c>
      <c r="F935" t="s">
        <v>44</v>
      </c>
      <c r="G935" t="s">
        <v>21</v>
      </c>
      <c r="H935" t="s">
        <v>15</v>
      </c>
      <c r="I935" t="s">
        <v>45</v>
      </c>
      <c r="J935">
        <v>4.2270751000000002E-2</v>
      </c>
      <c r="L935">
        <v>162.52099999999999</v>
      </c>
      <c r="M935">
        <v>4.5</v>
      </c>
    </row>
    <row r="936" spans="1:13" x14ac:dyDescent="0.35">
      <c r="A936" t="s">
        <v>10</v>
      </c>
      <c r="B936">
        <v>935</v>
      </c>
      <c r="C936" t="s">
        <v>758</v>
      </c>
      <c r="D936" t="s">
        <v>12</v>
      </c>
      <c r="E936">
        <v>2018</v>
      </c>
      <c r="F936" t="s">
        <v>44</v>
      </c>
      <c r="G936" t="s">
        <v>21</v>
      </c>
      <c r="H936" t="s">
        <v>15</v>
      </c>
      <c r="I936" t="s">
        <v>45</v>
      </c>
      <c r="J936">
        <v>2.8842331999999998E-2</v>
      </c>
      <c r="L936">
        <v>81.495999999999995</v>
      </c>
      <c r="M936">
        <v>4.5</v>
      </c>
    </row>
    <row r="937" spans="1:13" x14ac:dyDescent="0.35">
      <c r="A937" t="s">
        <v>10</v>
      </c>
      <c r="B937">
        <v>936</v>
      </c>
      <c r="C937" t="s">
        <v>759</v>
      </c>
      <c r="D937" t="s">
        <v>47</v>
      </c>
      <c r="E937">
        <v>2018</v>
      </c>
      <c r="F937" t="s">
        <v>44</v>
      </c>
      <c r="G937" t="s">
        <v>21</v>
      </c>
      <c r="H937" t="s">
        <v>15</v>
      </c>
      <c r="I937" t="s">
        <v>45</v>
      </c>
      <c r="J937">
        <v>1.3951504E-2</v>
      </c>
      <c r="L937">
        <v>199.9084</v>
      </c>
      <c r="M937">
        <v>4.5</v>
      </c>
    </row>
    <row r="938" spans="1:13" x14ac:dyDescent="0.35">
      <c r="A938" t="s">
        <v>10</v>
      </c>
      <c r="B938">
        <v>937</v>
      </c>
      <c r="C938" t="s">
        <v>760</v>
      </c>
      <c r="D938" t="s">
        <v>32</v>
      </c>
      <c r="E938">
        <v>2018</v>
      </c>
      <c r="F938" t="s">
        <v>44</v>
      </c>
      <c r="G938" t="s">
        <v>21</v>
      </c>
      <c r="H938" t="s">
        <v>15</v>
      </c>
      <c r="I938" t="s">
        <v>45</v>
      </c>
      <c r="J938">
        <v>4.4767031999999998E-2</v>
      </c>
      <c r="L938">
        <v>173.7054</v>
      </c>
      <c r="M938">
        <v>4.5</v>
      </c>
    </row>
    <row r="939" spans="1:13" x14ac:dyDescent="0.35">
      <c r="A939" t="s">
        <v>17</v>
      </c>
      <c r="B939">
        <v>938</v>
      </c>
      <c r="C939" t="s">
        <v>476</v>
      </c>
      <c r="D939" t="s">
        <v>94</v>
      </c>
      <c r="E939">
        <v>2018</v>
      </c>
      <c r="F939" t="s">
        <v>44</v>
      </c>
      <c r="G939" t="s">
        <v>21</v>
      </c>
      <c r="H939" t="s">
        <v>15</v>
      </c>
      <c r="I939" t="s">
        <v>45</v>
      </c>
      <c r="J939">
        <v>3.7315468999999997E-2</v>
      </c>
      <c r="L939">
        <v>50.003399999999999</v>
      </c>
      <c r="M939">
        <v>4.5</v>
      </c>
    </row>
    <row r="940" spans="1:13" x14ac:dyDescent="0.35">
      <c r="A940" t="s">
        <v>17</v>
      </c>
      <c r="B940">
        <v>939</v>
      </c>
      <c r="C940" t="s">
        <v>761</v>
      </c>
      <c r="D940" t="s">
        <v>56</v>
      </c>
      <c r="E940">
        <v>2018</v>
      </c>
      <c r="F940" t="s">
        <v>44</v>
      </c>
      <c r="G940" t="s">
        <v>21</v>
      </c>
      <c r="H940" t="s">
        <v>15</v>
      </c>
      <c r="I940" t="s">
        <v>45</v>
      </c>
      <c r="J940">
        <v>2.4407061000000001E-2</v>
      </c>
      <c r="L940">
        <v>102.33320000000001</v>
      </c>
      <c r="M940">
        <v>4.5</v>
      </c>
    </row>
    <row r="941" spans="1:13" x14ac:dyDescent="0.35">
      <c r="A941" t="s">
        <v>17</v>
      </c>
      <c r="B941">
        <v>940</v>
      </c>
      <c r="C941" t="s">
        <v>762</v>
      </c>
      <c r="D941" t="s">
        <v>19</v>
      </c>
      <c r="E941">
        <v>2018</v>
      </c>
      <c r="F941" t="s">
        <v>44</v>
      </c>
      <c r="G941" t="s">
        <v>21</v>
      </c>
      <c r="H941" t="s">
        <v>15</v>
      </c>
      <c r="I941" t="s">
        <v>45</v>
      </c>
      <c r="J941">
        <v>2.0876485E-2</v>
      </c>
      <c r="L941">
        <v>133.79419999999999</v>
      </c>
      <c r="M941">
        <v>4.5</v>
      </c>
    </row>
    <row r="942" spans="1:13" x14ac:dyDescent="0.35">
      <c r="A942" t="s">
        <v>10</v>
      </c>
      <c r="B942">
        <v>941</v>
      </c>
      <c r="C942" t="s">
        <v>498</v>
      </c>
      <c r="D942" t="s">
        <v>66</v>
      </c>
      <c r="E942">
        <v>2018</v>
      </c>
      <c r="F942" t="s">
        <v>44</v>
      </c>
      <c r="G942" t="s">
        <v>21</v>
      </c>
      <c r="H942" t="s">
        <v>15</v>
      </c>
      <c r="I942" t="s">
        <v>45</v>
      </c>
      <c r="J942">
        <v>6.7624437999999995E-2</v>
      </c>
      <c r="L942">
        <v>120.944</v>
      </c>
      <c r="M942">
        <v>4.5</v>
      </c>
    </row>
    <row r="943" spans="1:13" x14ac:dyDescent="0.3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v>975</v>
      </c>
      <c r="C976" t="s">
        <v>785</v>
      </c>
      <c r="D976" t="s">
        <v>28</v>
      </c>
      <c r="E976">
        <v>2018</v>
      </c>
      <c r="F976" t="s">
        <v>44</v>
      </c>
      <c r="G976" t="s">
        <v>21</v>
      </c>
      <c r="H976" t="s">
        <v>15</v>
      </c>
      <c r="I976" t="s">
        <v>45</v>
      </c>
      <c r="J976">
        <v>0</v>
      </c>
      <c r="L976">
        <v>154.63140000000001</v>
      </c>
      <c r="M976">
        <v>4.4000000000000004</v>
      </c>
    </row>
    <row r="977" spans="1:13" x14ac:dyDescent="0.3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v>1267</v>
      </c>
      <c r="C1268" t="s">
        <v>144</v>
      </c>
      <c r="D1268" t="s">
        <v>19</v>
      </c>
      <c r="E1268">
        <v>2018</v>
      </c>
      <c r="F1268" t="s">
        <v>44</v>
      </c>
      <c r="G1268" t="s">
        <v>21</v>
      </c>
      <c r="H1268" t="s">
        <v>15</v>
      </c>
      <c r="I1268" t="s">
        <v>45</v>
      </c>
      <c r="J1268">
        <v>0</v>
      </c>
      <c r="L1268">
        <v>125.173</v>
      </c>
      <c r="M1268">
        <v>4.4000000000000004</v>
      </c>
    </row>
    <row r="1269" spans="1:13" x14ac:dyDescent="0.3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420</v>
      </c>
      <c r="D1408" t="s">
        <v>94</v>
      </c>
      <c r="E1408">
        <v>2012</v>
      </c>
      <c r="F1408" t="s">
        <v>13</v>
      </c>
      <c r="G1408" t="s">
        <v>14</v>
      </c>
      <c r="H1408" t="s">
        <v>15</v>
      </c>
      <c r="I1408" t="s">
        <v>16</v>
      </c>
      <c r="J1408">
        <v>0</v>
      </c>
      <c r="K1408">
        <v>6.78</v>
      </c>
      <c r="L1408">
        <v>95.012</v>
      </c>
      <c r="M1408">
        <v>4.3</v>
      </c>
    </row>
    <row r="1409" spans="1:13" x14ac:dyDescent="0.3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v>1438</v>
      </c>
      <c r="C1439" t="s">
        <v>631</v>
      </c>
      <c r="D1439" t="s">
        <v>94</v>
      </c>
      <c r="E1439">
        <v>2018</v>
      </c>
      <c r="F1439" t="s">
        <v>137</v>
      </c>
      <c r="G1439" t="s">
        <v>14</v>
      </c>
      <c r="H1439" t="s">
        <v>26</v>
      </c>
      <c r="I1439" t="s">
        <v>39</v>
      </c>
      <c r="J1439">
        <v>0.208987123</v>
      </c>
      <c r="L1439">
        <v>106.0596</v>
      </c>
      <c r="M1439">
        <v>4.3</v>
      </c>
    </row>
    <row r="1440" spans="1:13" x14ac:dyDescent="0.3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v>1442</v>
      </c>
      <c r="C1443" t="s">
        <v>1017</v>
      </c>
      <c r="D1443" t="s">
        <v>24</v>
      </c>
      <c r="E1443">
        <v>2018</v>
      </c>
      <c r="F1443" t="s">
        <v>137</v>
      </c>
      <c r="G1443" t="s">
        <v>14</v>
      </c>
      <c r="H1443" t="s">
        <v>26</v>
      </c>
      <c r="I1443" t="s">
        <v>39</v>
      </c>
      <c r="J1443">
        <v>0</v>
      </c>
      <c r="L1443">
        <v>109.9254</v>
      </c>
      <c r="M1443">
        <v>4.3</v>
      </c>
    </row>
    <row r="1444" spans="1:13" x14ac:dyDescent="0.3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v>1447</v>
      </c>
      <c r="C1448" t="s">
        <v>990</v>
      </c>
      <c r="D1448" t="s">
        <v>19</v>
      </c>
      <c r="E1448">
        <v>2018</v>
      </c>
      <c r="F1448" t="s">
        <v>137</v>
      </c>
      <c r="G1448" t="s">
        <v>14</v>
      </c>
      <c r="H1448" t="s">
        <v>26</v>
      </c>
      <c r="I1448" t="s">
        <v>39</v>
      </c>
      <c r="J1448">
        <v>0</v>
      </c>
      <c r="L1448">
        <v>40.347999999999999</v>
      </c>
      <c r="M1448">
        <v>4.3</v>
      </c>
    </row>
    <row r="1449" spans="1:13" x14ac:dyDescent="0.3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v>1453</v>
      </c>
      <c r="C1454" t="s">
        <v>1022</v>
      </c>
      <c r="D1454" t="s">
        <v>41</v>
      </c>
      <c r="E1454">
        <v>2018</v>
      </c>
      <c r="F1454" t="s">
        <v>137</v>
      </c>
      <c r="G1454" t="s">
        <v>14</v>
      </c>
      <c r="H1454" t="s">
        <v>26</v>
      </c>
      <c r="I1454" t="s">
        <v>39</v>
      </c>
      <c r="J1454">
        <v>0.13027716</v>
      </c>
      <c r="L1454">
        <v>228.001</v>
      </c>
      <c r="M1454">
        <v>4.3</v>
      </c>
    </row>
    <row r="1455" spans="1:13" x14ac:dyDescent="0.3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v>1462</v>
      </c>
      <c r="C1463" t="s">
        <v>700</v>
      </c>
      <c r="D1463" t="s">
        <v>66</v>
      </c>
      <c r="E1463">
        <v>2018</v>
      </c>
      <c r="F1463" t="s">
        <v>137</v>
      </c>
      <c r="G1463" t="s">
        <v>14</v>
      </c>
      <c r="H1463" t="s">
        <v>26</v>
      </c>
      <c r="I1463" t="s">
        <v>39</v>
      </c>
      <c r="J1463">
        <v>0</v>
      </c>
      <c r="L1463">
        <v>55.9298</v>
      </c>
      <c r="M1463">
        <v>4.3</v>
      </c>
    </row>
    <row r="1464" spans="1:13" x14ac:dyDescent="0.3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v>1470</v>
      </c>
      <c r="C1471" t="s">
        <v>809</v>
      </c>
      <c r="D1471" t="s">
        <v>47</v>
      </c>
      <c r="E1471">
        <v>2018</v>
      </c>
      <c r="F1471" t="s">
        <v>137</v>
      </c>
      <c r="G1471" t="s">
        <v>14</v>
      </c>
      <c r="H1471" t="s">
        <v>26</v>
      </c>
      <c r="I1471" t="s">
        <v>39</v>
      </c>
      <c r="J1471">
        <v>7.8758649E-2</v>
      </c>
      <c r="L1471">
        <v>103.0016</v>
      </c>
      <c r="M1471">
        <v>4.3</v>
      </c>
    </row>
    <row r="1472" spans="1:13" x14ac:dyDescent="0.3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v>1912</v>
      </c>
      <c r="C1913" t="s">
        <v>1183</v>
      </c>
      <c r="D1913" t="s">
        <v>12</v>
      </c>
      <c r="E1913">
        <v>2018</v>
      </c>
      <c r="F1913" t="s">
        <v>44</v>
      </c>
      <c r="G1913" t="s">
        <v>21</v>
      </c>
      <c r="H1913" t="s">
        <v>15</v>
      </c>
      <c r="I1913" t="s">
        <v>45</v>
      </c>
      <c r="J1913">
        <v>0</v>
      </c>
      <c r="L1913">
        <v>245.01439999999999</v>
      </c>
      <c r="M1913">
        <v>4.3</v>
      </c>
    </row>
    <row r="1914" spans="1:13" x14ac:dyDescent="0.3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v>1920</v>
      </c>
      <c r="C1921" t="s">
        <v>1187</v>
      </c>
      <c r="D1921" t="s">
        <v>28</v>
      </c>
      <c r="E1921">
        <v>2018</v>
      </c>
      <c r="F1921" t="s">
        <v>44</v>
      </c>
      <c r="G1921" t="s">
        <v>21</v>
      </c>
      <c r="H1921" t="s">
        <v>15</v>
      </c>
      <c r="I1921" t="s">
        <v>45</v>
      </c>
      <c r="J1921">
        <v>0.116762173</v>
      </c>
      <c r="L1921">
        <v>198.9768</v>
      </c>
      <c r="M1921">
        <v>4.3</v>
      </c>
    </row>
    <row r="1922" spans="1:13" x14ac:dyDescent="0.3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v>1922</v>
      </c>
      <c r="C1923" t="s">
        <v>1064</v>
      </c>
      <c r="D1923" t="s">
        <v>66</v>
      </c>
      <c r="E1923">
        <v>2018</v>
      </c>
      <c r="F1923" t="s">
        <v>44</v>
      </c>
      <c r="G1923" t="s">
        <v>21</v>
      </c>
      <c r="H1923" t="s">
        <v>15</v>
      </c>
      <c r="I1923" t="s">
        <v>45</v>
      </c>
      <c r="J1923">
        <v>1.769927E-2</v>
      </c>
      <c r="L1923">
        <v>74.2012</v>
      </c>
      <c r="M1923">
        <v>4.3</v>
      </c>
    </row>
    <row r="1924" spans="1:13" x14ac:dyDescent="0.3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v>1926</v>
      </c>
      <c r="C1927" t="s">
        <v>1188</v>
      </c>
      <c r="D1927" t="s">
        <v>24</v>
      </c>
      <c r="E1927">
        <v>2018</v>
      </c>
      <c r="F1927" t="s">
        <v>44</v>
      </c>
      <c r="G1927" t="s">
        <v>21</v>
      </c>
      <c r="H1927" t="s">
        <v>15</v>
      </c>
      <c r="I1927" t="s">
        <v>45</v>
      </c>
      <c r="J1927">
        <v>0</v>
      </c>
      <c r="L1927">
        <v>100.7042</v>
      </c>
      <c r="M1927">
        <v>4.3</v>
      </c>
    </row>
    <row r="1928" spans="1:13" x14ac:dyDescent="0.3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v>1930</v>
      </c>
      <c r="C1931" t="s">
        <v>492</v>
      </c>
      <c r="D1931" t="s">
        <v>12</v>
      </c>
      <c r="E1931">
        <v>2018</v>
      </c>
      <c r="F1931" t="s">
        <v>44</v>
      </c>
      <c r="G1931" t="s">
        <v>21</v>
      </c>
      <c r="H1931" t="s">
        <v>15</v>
      </c>
      <c r="I1931" t="s">
        <v>45</v>
      </c>
      <c r="J1931">
        <v>3.5183156E-2</v>
      </c>
      <c r="L1931">
        <v>37.8506</v>
      </c>
      <c r="M1931">
        <v>4.3</v>
      </c>
    </row>
    <row r="1932" spans="1:13" x14ac:dyDescent="0.35">
      <c r="A1932" t="s">
        <v>17</v>
      </c>
      <c r="B1932">
        <v>1931</v>
      </c>
      <c r="C1932" t="s">
        <v>1190</v>
      </c>
      <c r="D1932" t="s">
        <v>12</v>
      </c>
      <c r="E1932">
        <v>2018</v>
      </c>
      <c r="F1932" t="s">
        <v>44</v>
      </c>
      <c r="G1932" t="s">
        <v>21</v>
      </c>
      <c r="H1932" t="s">
        <v>15</v>
      </c>
      <c r="I1932" t="s">
        <v>45</v>
      </c>
      <c r="J1932">
        <v>2.0614212E-2</v>
      </c>
      <c r="L1932">
        <v>126.4046</v>
      </c>
      <c r="M1932">
        <v>4.3</v>
      </c>
    </row>
    <row r="1933" spans="1:13" x14ac:dyDescent="0.3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v>1937</v>
      </c>
      <c r="C1938" t="s">
        <v>325</v>
      </c>
      <c r="D1938" t="s">
        <v>19</v>
      </c>
      <c r="E1938">
        <v>2018</v>
      </c>
      <c r="F1938" t="s">
        <v>44</v>
      </c>
      <c r="G1938" t="s">
        <v>21</v>
      </c>
      <c r="H1938" t="s">
        <v>15</v>
      </c>
      <c r="I1938" t="s">
        <v>45</v>
      </c>
      <c r="J1938">
        <v>0.116366304</v>
      </c>
      <c r="L1938">
        <v>158.363</v>
      </c>
      <c r="M1938">
        <v>4.3</v>
      </c>
    </row>
    <row r="1939" spans="1:13" x14ac:dyDescent="0.3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v>1946</v>
      </c>
      <c r="C1947" t="s">
        <v>150</v>
      </c>
      <c r="D1947" t="s">
        <v>53</v>
      </c>
      <c r="E1947">
        <v>2018</v>
      </c>
      <c r="F1947" t="s">
        <v>44</v>
      </c>
      <c r="G1947" t="s">
        <v>21</v>
      </c>
      <c r="H1947" t="s">
        <v>15</v>
      </c>
      <c r="I1947" t="s">
        <v>45</v>
      </c>
      <c r="J1947">
        <v>1.6653022E-2</v>
      </c>
      <c r="L1947">
        <v>139.518</v>
      </c>
      <c r="M1947">
        <v>4.3</v>
      </c>
    </row>
    <row r="1948" spans="1:13" x14ac:dyDescent="0.3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v>1961</v>
      </c>
      <c r="C1962" t="s">
        <v>935</v>
      </c>
      <c r="D1962" t="s">
        <v>56</v>
      </c>
      <c r="E1962">
        <v>2018</v>
      </c>
      <c r="F1962" t="s">
        <v>44</v>
      </c>
      <c r="G1962" t="s">
        <v>21</v>
      </c>
      <c r="H1962" t="s">
        <v>15</v>
      </c>
      <c r="I1962" t="s">
        <v>45</v>
      </c>
      <c r="J1962">
        <v>4.368089E-2</v>
      </c>
      <c r="L1962">
        <v>110.157</v>
      </c>
      <c r="M1962">
        <v>4.3</v>
      </c>
    </row>
    <row r="1963" spans="1:13" x14ac:dyDescent="0.35">
      <c r="A1963" t="s">
        <v>10</v>
      </c>
      <c r="B1963">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v>1963</v>
      </c>
      <c r="C1964" t="s">
        <v>159</v>
      </c>
      <c r="D1964" t="s">
        <v>28</v>
      </c>
      <c r="E1964">
        <v>2018</v>
      </c>
      <c r="F1964" t="s">
        <v>44</v>
      </c>
      <c r="G1964" t="s">
        <v>21</v>
      </c>
      <c r="H1964" t="s">
        <v>15</v>
      </c>
      <c r="I1964" t="s">
        <v>45</v>
      </c>
      <c r="J1964">
        <v>0</v>
      </c>
      <c r="L1964">
        <v>100.3674</v>
      </c>
      <c r="M1964">
        <v>4.3</v>
      </c>
    </row>
    <row r="1965" spans="1:13" x14ac:dyDescent="0.3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v>1972</v>
      </c>
      <c r="C1973" t="s">
        <v>1200</v>
      </c>
      <c r="D1973" t="s">
        <v>47</v>
      </c>
      <c r="E1973">
        <v>2018</v>
      </c>
      <c r="F1973" t="s">
        <v>44</v>
      </c>
      <c r="G1973" t="s">
        <v>21</v>
      </c>
      <c r="H1973" t="s">
        <v>15</v>
      </c>
      <c r="I1973" t="s">
        <v>45</v>
      </c>
      <c r="J1973">
        <v>8.7894475E-2</v>
      </c>
      <c r="L1973">
        <v>121.173</v>
      </c>
      <c r="M1973">
        <v>4.3</v>
      </c>
    </row>
    <row r="1974" spans="1:13" x14ac:dyDescent="0.3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v>1987</v>
      </c>
      <c r="C1988" t="s">
        <v>900</v>
      </c>
      <c r="D1988" t="s">
        <v>24</v>
      </c>
      <c r="E1988">
        <v>2017</v>
      </c>
      <c r="F1988" t="s">
        <v>49</v>
      </c>
      <c r="G1988" t="s">
        <v>34</v>
      </c>
      <c r="H1988" t="s">
        <v>26</v>
      </c>
      <c r="I1988" t="s">
        <v>16</v>
      </c>
      <c r="J1988">
        <v>0</v>
      </c>
      <c r="K1988">
        <v>14</v>
      </c>
      <c r="L1988">
        <v>53.064</v>
      </c>
      <c r="M1988">
        <v>4.2</v>
      </c>
    </row>
    <row r="1989" spans="1:13" x14ac:dyDescent="0.3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1217</v>
      </c>
      <c r="D2018" t="s">
        <v>28</v>
      </c>
      <c r="E2018">
        <v>2018</v>
      </c>
      <c r="F2018" t="s">
        <v>137</v>
      </c>
      <c r="G2018" t="s">
        <v>14</v>
      </c>
      <c r="H2018" t="s">
        <v>26</v>
      </c>
      <c r="I2018" t="s">
        <v>39</v>
      </c>
      <c r="J2018">
        <v>0</v>
      </c>
      <c r="L2018">
        <v>160.69200000000001</v>
      </c>
      <c r="M2018">
        <v>4.2</v>
      </c>
    </row>
    <row r="2019" spans="1:13" x14ac:dyDescent="0.3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752</v>
      </c>
      <c r="D2028" t="s">
        <v>41</v>
      </c>
      <c r="E2028">
        <v>2018</v>
      </c>
      <c r="F2028" t="s">
        <v>137</v>
      </c>
      <c r="G2028" t="s">
        <v>14</v>
      </c>
      <c r="H2028" t="s">
        <v>26</v>
      </c>
      <c r="I2028" t="s">
        <v>39</v>
      </c>
      <c r="J2028">
        <v>0.164864915</v>
      </c>
      <c r="L2028">
        <v>255.2698</v>
      </c>
      <c r="M2028">
        <v>4.2</v>
      </c>
    </row>
    <row r="2029" spans="1:13" x14ac:dyDescent="0.3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1057</v>
      </c>
      <c r="D2045" t="s">
        <v>32</v>
      </c>
      <c r="E2045">
        <v>2011</v>
      </c>
      <c r="F2045" t="s">
        <v>38</v>
      </c>
      <c r="G2045" t="s">
        <v>21</v>
      </c>
      <c r="H2045" t="s">
        <v>15</v>
      </c>
      <c r="I2045" t="s">
        <v>39</v>
      </c>
      <c r="J2045">
        <v>0</v>
      </c>
      <c r="K2045">
        <v>9.5</v>
      </c>
      <c r="L2045">
        <v>32.89</v>
      </c>
      <c r="M2045">
        <v>4.2</v>
      </c>
    </row>
    <row r="2046" spans="1:13" x14ac:dyDescent="0.3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v>2126</v>
      </c>
      <c r="C2127" t="s">
        <v>704</v>
      </c>
      <c r="D2127" t="s">
        <v>28</v>
      </c>
      <c r="E2127">
        <v>2018</v>
      </c>
      <c r="F2127" t="s">
        <v>137</v>
      </c>
      <c r="G2127" t="s">
        <v>14</v>
      </c>
      <c r="H2127" t="s">
        <v>26</v>
      </c>
      <c r="I2127" t="s">
        <v>39</v>
      </c>
      <c r="J2127">
        <v>0.137539574</v>
      </c>
      <c r="L2127">
        <v>38.8506</v>
      </c>
      <c r="M2127">
        <v>4.2</v>
      </c>
    </row>
    <row r="2128" spans="1:13" x14ac:dyDescent="0.35">
      <c r="A2128" t="s">
        <v>17</v>
      </c>
      <c r="B2128">
        <v>2127</v>
      </c>
      <c r="C2128" t="s">
        <v>162</v>
      </c>
      <c r="D2128" t="s">
        <v>28</v>
      </c>
      <c r="E2128">
        <v>2018</v>
      </c>
      <c r="F2128" t="s">
        <v>137</v>
      </c>
      <c r="G2128" t="s">
        <v>14</v>
      </c>
      <c r="H2128" t="s">
        <v>26</v>
      </c>
      <c r="I2128" t="s">
        <v>39</v>
      </c>
      <c r="J2128">
        <v>1.8275994E-2</v>
      </c>
      <c r="L2128">
        <v>115.2808</v>
      </c>
      <c r="M2128">
        <v>4.2</v>
      </c>
    </row>
    <row r="2129" spans="1:13" x14ac:dyDescent="0.35">
      <c r="A2129" t="s">
        <v>17</v>
      </c>
      <c r="B2129">
        <v>2128</v>
      </c>
      <c r="C2129" t="s">
        <v>943</v>
      </c>
      <c r="D2129" t="s">
        <v>28</v>
      </c>
      <c r="E2129">
        <v>2018</v>
      </c>
      <c r="F2129" t="s">
        <v>137</v>
      </c>
      <c r="G2129" t="s">
        <v>14</v>
      </c>
      <c r="H2129" t="s">
        <v>26</v>
      </c>
      <c r="I2129" t="s">
        <v>39</v>
      </c>
      <c r="J2129">
        <v>3.1069203E-2</v>
      </c>
      <c r="L2129">
        <v>179.6686</v>
      </c>
      <c r="M2129">
        <v>4.2</v>
      </c>
    </row>
    <row r="2130" spans="1:13" x14ac:dyDescent="0.3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v>2130</v>
      </c>
      <c r="C2131" t="s">
        <v>1143</v>
      </c>
      <c r="D2131" t="s">
        <v>24</v>
      </c>
      <c r="E2131">
        <v>2018</v>
      </c>
      <c r="F2131" t="s">
        <v>137</v>
      </c>
      <c r="G2131" t="s">
        <v>14</v>
      </c>
      <c r="H2131" t="s">
        <v>26</v>
      </c>
      <c r="I2131" t="s">
        <v>39</v>
      </c>
      <c r="J2131">
        <v>0</v>
      </c>
      <c r="L2131">
        <v>98.241</v>
      </c>
      <c r="M2131">
        <v>4.2</v>
      </c>
    </row>
    <row r="2132" spans="1:13" x14ac:dyDescent="0.3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v>2139</v>
      </c>
      <c r="C2140" t="s">
        <v>280</v>
      </c>
      <c r="D2140" t="s">
        <v>32</v>
      </c>
      <c r="E2140">
        <v>2018</v>
      </c>
      <c r="F2140" t="s">
        <v>137</v>
      </c>
      <c r="G2140" t="s">
        <v>14</v>
      </c>
      <c r="H2140" t="s">
        <v>26</v>
      </c>
      <c r="I2140" t="s">
        <v>39</v>
      </c>
      <c r="J2140">
        <v>0.124448295</v>
      </c>
      <c r="L2140">
        <v>112.0518</v>
      </c>
      <c r="M2140">
        <v>4.2</v>
      </c>
    </row>
    <row r="2141" spans="1:13" x14ac:dyDescent="0.3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v>2142</v>
      </c>
      <c r="C2143" t="s">
        <v>954</v>
      </c>
      <c r="D2143" t="s">
        <v>66</v>
      </c>
      <c r="E2143">
        <v>2018</v>
      </c>
      <c r="F2143" t="s">
        <v>137</v>
      </c>
      <c r="G2143" t="s">
        <v>14</v>
      </c>
      <c r="H2143" t="s">
        <v>26</v>
      </c>
      <c r="I2143" t="s">
        <v>39</v>
      </c>
      <c r="J2143">
        <v>0.168901843</v>
      </c>
      <c r="L2143">
        <v>43.4086</v>
      </c>
      <c r="M2143">
        <v>4.2</v>
      </c>
    </row>
    <row r="2144" spans="1:13" x14ac:dyDescent="0.3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v>2147</v>
      </c>
      <c r="C2148" t="s">
        <v>398</v>
      </c>
      <c r="D2148" t="s">
        <v>12</v>
      </c>
      <c r="E2148">
        <v>2018</v>
      </c>
      <c r="F2148" t="s">
        <v>137</v>
      </c>
      <c r="G2148" t="s">
        <v>14</v>
      </c>
      <c r="H2148" t="s">
        <v>26</v>
      </c>
      <c r="I2148" t="s">
        <v>39</v>
      </c>
      <c r="J2148">
        <v>0.11173569</v>
      </c>
      <c r="L2148">
        <v>115.9492</v>
      </c>
      <c r="M2148">
        <v>4.2</v>
      </c>
    </row>
    <row r="2149" spans="1:13" x14ac:dyDescent="0.3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v>2150</v>
      </c>
      <c r="C2151" t="s">
        <v>1208</v>
      </c>
      <c r="D2151" t="s">
        <v>53</v>
      </c>
      <c r="E2151">
        <v>2018</v>
      </c>
      <c r="F2151" t="s">
        <v>137</v>
      </c>
      <c r="G2151" t="s">
        <v>14</v>
      </c>
      <c r="H2151" t="s">
        <v>26</v>
      </c>
      <c r="I2151" t="s">
        <v>39</v>
      </c>
      <c r="J2151">
        <v>0.133279499</v>
      </c>
      <c r="L2151">
        <v>112.6202</v>
      </c>
      <c r="M2151">
        <v>4.2</v>
      </c>
    </row>
    <row r="2152" spans="1:13" x14ac:dyDescent="0.3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750</v>
      </c>
      <c r="D2550" t="s">
        <v>41</v>
      </c>
      <c r="E2550">
        <v>2022</v>
      </c>
      <c r="F2550" t="s">
        <v>20</v>
      </c>
      <c r="G2550" t="s">
        <v>21</v>
      </c>
      <c r="H2550" t="s">
        <v>15</v>
      </c>
      <c r="I2550" t="s">
        <v>22</v>
      </c>
      <c r="J2550">
        <v>0</v>
      </c>
      <c r="K2550">
        <v>20.5</v>
      </c>
      <c r="L2550">
        <v>37.119</v>
      </c>
      <c r="M2550">
        <v>4.2</v>
      </c>
    </row>
    <row r="2551" spans="1:13" x14ac:dyDescent="0.3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61</v>
      </c>
      <c r="D2578" t="s">
        <v>12</v>
      </c>
      <c r="E2578">
        <v>2022</v>
      </c>
      <c r="F2578" t="s">
        <v>20</v>
      </c>
      <c r="G2578" t="s">
        <v>21</v>
      </c>
      <c r="H2578" t="s">
        <v>15</v>
      </c>
      <c r="I2578" t="s">
        <v>22</v>
      </c>
      <c r="J2578">
        <v>0</v>
      </c>
      <c r="K2578">
        <v>15.1</v>
      </c>
      <c r="L2578">
        <v>63.7194</v>
      </c>
      <c r="M2578">
        <v>4.2</v>
      </c>
    </row>
    <row r="2579" spans="1:13" x14ac:dyDescent="0.3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198</v>
      </c>
      <c r="D2595" t="s">
        <v>94</v>
      </c>
      <c r="E2595">
        <v>2018</v>
      </c>
      <c r="F2595" t="s">
        <v>44</v>
      </c>
      <c r="G2595" t="s">
        <v>21</v>
      </c>
      <c r="H2595" t="s">
        <v>15</v>
      </c>
      <c r="I2595" t="s">
        <v>45</v>
      </c>
      <c r="J2595">
        <v>0.112718928</v>
      </c>
      <c r="L2595">
        <v>54.2956</v>
      </c>
      <c r="M2595">
        <v>4.2</v>
      </c>
    </row>
    <row r="2596" spans="1:13" x14ac:dyDescent="0.3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v>2598</v>
      </c>
      <c r="C2599" t="s">
        <v>631</v>
      </c>
      <c r="D2599" t="s">
        <v>94</v>
      </c>
      <c r="E2599">
        <v>2018</v>
      </c>
      <c r="F2599" t="s">
        <v>44</v>
      </c>
      <c r="G2599" t="s">
        <v>21</v>
      </c>
      <c r="H2599" t="s">
        <v>15</v>
      </c>
      <c r="I2599" t="s">
        <v>45</v>
      </c>
      <c r="J2599">
        <v>0.118783796</v>
      </c>
      <c r="L2599">
        <v>108.5596</v>
      </c>
      <c r="M2599">
        <v>4.2</v>
      </c>
    </row>
    <row r="2600" spans="1:13" x14ac:dyDescent="0.3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v>2601</v>
      </c>
      <c r="C2602" t="s">
        <v>588</v>
      </c>
      <c r="D2602" t="s">
        <v>66</v>
      </c>
      <c r="E2602">
        <v>2018</v>
      </c>
      <c r="F2602" t="s">
        <v>44</v>
      </c>
      <c r="G2602" t="s">
        <v>21</v>
      </c>
      <c r="H2602" t="s">
        <v>15</v>
      </c>
      <c r="I2602" t="s">
        <v>45</v>
      </c>
      <c r="J2602">
        <v>3.0288215E-2</v>
      </c>
      <c r="L2602">
        <v>256.7672</v>
      </c>
      <c r="M2602">
        <v>4.2</v>
      </c>
    </row>
    <row r="2603" spans="1:13" x14ac:dyDescent="0.3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v>2613</v>
      </c>
      <c r="C2614" t="s">
        <v>296</v>
      </c>
      <c r="D2614" t="s">
        <v>19</v>
      </c>
      <c r="E2614">
        <v>2018</v>
      </c>
      <c r="F2614" t="s">
        <v>44</v>
      </c>
      <c r="G2614" t="s">
        <v>21</v>
      </c>
      <c r="H2614" t="s">
        <v>15</v>
      </c>
      <c r="I2614" t="s">
        <v>45</v>
      </c>
      <c r="J2614">
        <v>8.9343433E-2</v>
      </c>
      <c r="L2614">
        <v>157.3604</v>
      </c>
      <c r="M2614">
        <v>4.2</v>
      </c>
    </row>
    <row r="2615" spans="1:13" x14ac:dyDescent="0.3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v>2618</v>
      </c>
      <c r="C2619" t="s">
        <v>1114</v>
      </c>
      <c r="D2619" t="s">
        <v>41</v>
      </c>
      <c r="E2619">
        <v>2018</v>
      </c>
      <c r="F2619" t="s">
        <v>44</v>
      </c>
      <c r="G2619" t="s">
        <v>21</v>
      </c>
      <c r="H2619" t="s">
        <v>15</v>
      </c>
      <c r="I2619" t="s">
        <v>45</v>
      </c>
      <c r="J2619">
        <v>0.124110734</v>
      </c>
      <c r="L2619">
        <v>111.7544</v>
      </c>
      <c r="M2619">
        <v>4.2</v>
      </c>
    </row>
    <row r="2620" spans="1:13" x14ac:dyDescent="0.3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v>2622</v>
      </c>
      <c r="C2623" t="s">
        <v>1352</v>
      </c>
      <c r="D2623" t="s">
        <v>47</v>
      </c>
      <c r="E2623">
        <v>2018</v>
      </c>
      <c r="F2623" t="s">
        <v>44</v>
      </c>
      <c r="G2623" t="s">
        <v>21</v>
      </c>
      <c r="H2623" t="s">
        <v>15</v>
      </c>
      <c r="I2623" t="s">
        <v>45</v>
      </c>
      <c r="J2623">
        <v>0</v>
      </c>
      <c r="L2623">
        <v>119.8124</v>
      </c>
      <c r="M2623">
        <v>4.2</v>
      </c>
    </row>
    <row r="2624" spans="1:13" x14ac:dyDescent="0.3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v>2625</v>
      </c>
      <c r="C2626" t="s">
        <v>117</v>
      </c>
      <c r="D2626" t="s">
        <v>47</v>
      </c>
      <c r="E2626">
        <v>2018</v>
      </c>
      <c r="F2626" t="s">
        <v>44</v>
      </c>
      <c r="G2626" t="s">
        <v>21</v>
      </c>
      <c r="H2626" t="s">
        <v>15</v>
      </c>
      <c r="I2626" t="s">
        <v>45</v>
      </c>
      <c r="J2626">
        <v>0</v>
      </c>
      <c r="L2626">
        <v>240.62219999999999</v>
      </c>
      <c r="M2626">
        <v>4.2</v>
      </c>
    </row>
    <row r="2627" spans="1:13" x14ac:dyDescent="0.3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v>2635</v>
      </c>
      <c r="C2636" t="s">
        <v>1137</v>
      </c>
      <c r="D2636" t="s">
        <v>56</v>
      </c>
      <c r="E2636">
        <v>2018</v>
      </c>
      <c r="F2636" t="s">
        <v>44</v>
      </c>
      <c r="G2636" t="s">
        <v>21</v>
      </c>
      <c r="H2636" t="s">
        <v>15</v>
      </c>
      <c r="I2636" t="s">
        <v>45</v>
      </c>
      <c r="J2636">
        <v>2.923013E-2</v>
      </c>
      <c r="L2636">
        <v>189.4556</v>
      </c>
      <c r="M2636">
        <v>4.2</v>
      </c>
    </row>
    <row r="2637" spans="1:13" x14ac:dyDescent="0.3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v>2642</v>
      </c>
      <c r="C2643" t="s">
        <v>1360</v>
      </c>
      <c r="D2643" t="s">
        <v>24</v>
      </c>
      <c r="E2643">
        <v>2018</v>
      </c>
      <c r="F2643" t="s">
        <v>44</v>
      </c>
      <c r="G2643" t="s">
        <v>21</v>
      </c>
      <c r="H2643" t="s">
        <v>15</v>
      </c>
      <c r="I2643" t="s">
        <v>45</v>
      </c>
      <c r="J2643">
        <v>0</v>
      </c>
      <c r="L2643">
        <v>130.53100000000001</v>
      </c>
      <c r="M2643">
        <v>4.2</v>
      </c>
    </row>
    <row r="2644" spans="1:13" x14ac:dyDescent="0.3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v>2645</v>
      </c>
      <c r="C2646" t="s">
        <v>613</v>
      </c>
      <c r="D2646" t="s">
        <v>47</v>
      </c>
      <c r="E2646">
        <v>2018</v>
      </c>
      <c r="F2646" t="s">
        <v>44</v>
      </c>
      <c r="G2646" t="s">
        <v>21</v>
      </c>
      <c r="H2646" t="s">
        <v>15</v>
      </c>
      <c r="I2646" t="s">
        <v>45</v>
      </c>
      <c r="J2646">
        <v>8.9512542E-2</v>
      </c>
      <c r="L2646">
        <v>133.1626</v>
      </c>
      <c r="M2646">
        <v>4.2</v>
      </c>
    </row>
    <row r="2647" spans="1:13" x14ac:dyDescent="0.35">
      <c r="A2647" t="s">
        <v>10</v>
      </c>
      <c r="B2647">
        <v>2646</v>
      </c>
      <c r="C2647" t="s">
        <v>318</v>
      </c>
      <c r="D2647" t="s">
        <v>47</v>
      </c>
      <c r="E2647">
        <v>2018</v>
      </c>
      <c r="F2647" t="s">
        <v>44</v>
      </c>
      <c r="G2647" t="s">
        <v>21</v>
      </c>
      <c r="H2647" t="s">
        <v>15</v>
      </c>
      <c r="I2647" t="s">
        <v>45</v>
      </c>
      <c r="J2647">
        <v>0.104786172</v>
      </c>
      <c r="L2647">
        <v>172.2764</v>
      </c>
      <c r="M2647">
        <v>4.2</v>
      </c>
    </row>
    <row r="2648" spans="1:13" x14ac:dyDescent="0.3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v>3316</v>
      </c>
      <c r="C3317" t="s">
        <v>1454</v>
      </c>
      <c r="D3317" t="s">
        <v>73</v>
      </c>
      <c r="E3317">
        <v>2018</v>
      </c>
      <c r="F3317" t="s">
        <v>137</v>
      </c>
      <c r="G3317" t="s">
        <v>14</v>
      </c>
      <c r="H3317" t="s">
        <v>26</v>
      </c>
      <c r="I3317" t="s">
        <v>39</v>
      </c>
      <c r="J3317">
        <v>0.106907604</v>
      </c>
      <c r="L3317">
        <v>162.8526</v>
      </c>
      <c r="M3317">
        <v>4</v>
      </c>
    </row>
    <row r="3318" spans="1:13" x14ac:dyDescent="0.3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v>3320</v>
      </c>
      <c r="C3321" t="s">
        <v>1276</v>
      </c>
      <c r="D3321" t="s">
        <v>66</v>
      </c>
      <c r="E3321">
        <v>2018</v>
      </c>
      <c r="F3321" t="s">
        <v>137</v>
      </c>
      <c r="G3321" t="s">
        <v>14</v>
      </c>
      <c r="H3321" t="s">
        <v>26</v>
      </c>
      <c r="I3321" t="s">
        <v>39</v>
      </c>
      <c r="J3321">
        <v>0.122832172</v>
      </c>
      <c r="L3321">
        <v>217.685</v>
      </c>
      <c r="M3321">
        <v>4</v>
      </c>
    </row>
    <row r="3322" spans="1:13" x14ac:dyDescent="0.3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v>3339</v>
      </c>
      <c r="C3340" t="s">
        <v>1457</v>
      </c>
      <c r="D3340" t="s">
        <v>28</v>
      </c>
      <c r="E3340">
        <v>2018</v>
      </c>
      <c r="F3340" t="s">
        <v>137</v>
      </c>
      <c r="G3340" t="s">
        <v>14</v>
      </c>
      <c r="H3340" t="s">
        <v>26</v>
      </c>
      <c r="I3340" t="s">
        <v>39</v>
      </c>
      <c r="J3340">
        <v>0</v>
      </c>
      <c r="L3340">
        <v>169.87899999999999</v>
      </c>
      <c r="M3340">
        <v>4</v>
      </c>
    </row>
    <row r="3341" spans="1:13" x14ac:dyDescent="0.3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v>3344</v>
      </c>
      <c r="C3345" t="s">
        <v>1425</v>
      </c>
      <c r="D3345" t="s">
        <v>12</v>
      </c>
      <c r="E3345">
        <v>2018</v>
      </c>
      <c r="F3345" t="s">
        <v>137</v>
      </c>
      <c r="G3345" t="s">
        <v>14</v>
      </c>
      <c r="H3345" t="s">
        <v>26</v>
      </c>
      <c r="I3345" t="s">
        <v>39</v>
      </c>
      <c r="J3345">
        <v>0.214139786</v>
      </c>
      <c r="L3345">
        <v>102.4016</v>
      </c>
      <c r="M3345">
        <v>4</v>
      </c>
    </row>
    <row r="3346" spans="1:13" x14ac:dyDescent="0.35">
      <c r="A3346" t="s">
        <v>10</v>
      </c>
      <c r="B3346">
        <v>3345</v>
      </c>
      <c r="C3346" t="s">
        <v>605</v>
      </c>
      <c r="D3346" t="s">
        <v>12</v>
      </c>
      <c r="E3346">
        <v>2018</v>
      </c>
      <c r="F3346" t="s">
        <v>137</v>
      </c>
      <c r="G3346" t="s">
        <v>14</v>
      </c>
      <c r="H3346" t="s">
        <v>26</v>
      </c>
      <c r="I3346" t="s">
        <v>39</v>
      </c>
      <c r="J3346">
        <v>0</v>
      </c>
      <c r="L3346">
        <v>178.5318</v>
      </c>
      <c r="M3346">
        <v>4</v>
      </c>
    </row>
    <row r="3347" spans="1:13" x14ac:dyDescent="0.3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v>3349</v>
      </c>
      <c r="C3350" t="s">
        <v>693</v>
      </c>
      <c r="D3350" t="s">
        <v>41</v>
      </c>
      <c r="E3350">
        <v>2018</v>
      </c>
      <c r="F3350" t="s">
        <v>137</v>
      </c>
      <c r="G3350" t="s">
        <v>14</v>
      </c>
      <c r="H3350" t="s">
        <v>26</v>
      </c>
      <c r="I3350" t="s">
        <v>39</v>
      </c>
      <c r="J3350">
        <v>2.4992442E-2</v>
      </c>
      <c r="L3350">
        <v>53.6614</v>
      </c>
      <c r="M3350">
        <v>4</v>
      </c>
    </row>
    <row r="3351" spans="1:13" x14ac:dyDescent="0.3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893</v>
      </c>
      <c r="D3438" t="s">
        <v>41</v>
      </c>
      <c r="E3438">
        <v>2015</v>
      </c>
      <c r="F3438" t="s">
        <v>33</v>
      </c>
      <c r="G3438" t="s">
        <v>34</v>
      </c>
      <c r="H3438" t="s">
        <v>26</v>
      </c>
      <c r="I3438" t="s">
        <v>16</v>
      </c>
      <c r="J3438">
        <v>0</v>
      </c>
      <c r="K3438">
        <v>9.6</v>
      </c>
      <c r="L3438">
        <v>164.2184</v>
      </c>
      <c r="M3438">
        <v>4</v>
      </c>
    </row>
    <row r="3439" spans="1:13" x14ac:dyDescent="0.3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760</v>
      </c>
      <c r="D3700" t="s">
        <v>32</v>
      </c>
      <c r="E3700">
        <v>2014</v>
      </c>
      <c r="F3700" t="s">
        <v>29</v>
      </c>
      <c r="G3700" t="s">
        <v>21</v>
      </c>
      <c r="H3700" t="s">
        <v>30</v>
      </c>
      <c r="I3700" t="s">
        <v>16</v>
      </c>
      <c r="J3700">
        <v>0</v>
      </c>
      <c r="K3700">
        <v>13</v>
      </c>
      <c r="L3700">
        <v>173.6054</v>
      </c>
      <c r="M3700">
        <v>4</v>
      </c>
    </row>
    <row r="3701" spans="1:13" x14ac:dyDescent="0.3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v>3773</v>
      </c>
      <c r="C3774" t="s">
        <v>703</v>
      </c>
      <c r="D3774" t="s">
        <v>56</v>
      </c>
      <c r="E3774">
        <v>2018</v>
      </c>
      <c r="F3774" t="s">
        <v>44</v>
      </c>
      <c r="G3774" t="s">
        <v>21</v>
      </c>
      <c r="H3774" t="s">
        <v>15</v>
      </c>
      <c r="I3774" t="s">
        <v>45</v>
      </c>
      <c r="J3774">
        <v>7.8831762E-2</v>
      </c>
      <c r="L3774">
        <v>98.97</v>
      </c>
      <c r="M3774">
        <v>4</v>
      </c>
    </row>
    <row r="3775" spans="1:13" x14ac:dyDescent="0.3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v>3783</v>
      </c>
      <c r="C3784" t="s">
        <v>168</v>
      </c>
      <c r="D3784" t="s">
        <v>12</v>
      </c>
      <c r="E3784">
        <v>2018</v>
      </c>
      <c r="F3784" t="s">
        <v>44</v>
      </c>
      <c r="G3784" t="s">
        <v>21</v>
      </c>
      <c r="H3784" t="s">
        <v>15</v>
      </c>
      <c r="I3784" t="s">
        <v>45</v>
      </c>
      <c r="J3784">
        <v>0</v>
      </c>
      <c r="L3784">
        <v>253.03559999999999</v>
      </c>
      <c r="M3784">
        <v>4</v>
      </c>
    </row>
    <row r="3785" spans="1:13" x14ac:dyDescent="0.3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v>3792</v>
      </c>
      <c r="C3793" t="s">
        <v>931</v>
      </c>
      <c r="D3793" t="s">
        <v>47</v>
      </c>
      <c r="E3793">
        <v>2018</v>
      </c>
      <c r="F3793" t="s">
        <v>44</v>
      </c>
      <c r="G3793" t="s">
        <v>21</v>
      </c>
      <c r="H3793" t="s">
        <v>15</v>
      </c>
      <c r="I3793" t="s">
        <v>45</v>
      </c>
      <c r="J3793">
        <v>0</v>
      </c>
      <c r="L3793">
        <v>45.742800000000003</v>
      </c>
      <c r="M3793">
        <v>4</v>
      </c>
    </row>
    <row r="3794" spans="1:13" x14ac:dyDescent="0.3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v>3794</v>
      </c>
      <c r="C3795" t="s">
        <v>624</v>
      </c>
      <c r="D3795" t="s">
        <v>47</v>
      </c>
      <c r="E3795">
        <v>2018</v>
      </c>
      <c r="F3795" t="s">
        <v>44</v>
      </c>
      <c r="G3795" t="s">
        <v>21</v>
      </c>
      <c r="H3795" t="s">
        <v>15</v>
      </c>
      <c r="I3795" t="s">
        <v>45</v>
      </c>
      <c r="J3795">
        <v>2.9793955E-2</v>
      </c>
      <c r="L3795">
        <v>167.2816</v>
      </c>
      <c r="M3795">
        <v>4</v>
      </c>
    </row>
    <row r="3796" spans="1:13" x14ac:dyDescent="0.35">
      <c r="A3796" t="s">
        <v>17</v>
      </c>
      <c r="B3796">
        <v>3795</v>
      </c>
      <c r="C3796" t="s">
        <v>915</v>
      </c>
      <c r="D3796" t="s">
        <v>47</v>
      </c>
      <c r="E3796">
        <v>2018</v>
      </c>
      <c r="F3796" t="s">
        <v>44</v>
      </c>
      <c r="G3796" t="s">
        <v>21</v>
      </c>
      <c r="H3796" t="s">
        <v>15</v>
      </c>
      <c r="I3796" t="s">
        <v>45</v>
      </c>
      <c r="J3796">
        <v>0</v>
      </c>
      <c r="L3796">
        <v>248.8092</v>
      </c>
      <c r="M3796">
        <v>4</v>
      </c>
    </row>
    <row r="3797" spans="1:13" x14ac:dyDescent="0.3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v>3797</v>
      </c>
      <c r="C3798" t="s">
        <v>1266</v>
      </c>
      <c r="D3798" t="s">
        <v>32</v>
      </c>
      <c r="E3798">
        <v>2018</v>
      </c>
      <c r="F3798" t="s">
        <v>44</v>
      </c>
      <c r="G3798" t="s">
        <v>21</v>
      </c>
      <c r="H3798" t="s">
        <v>15</v>
      </c>
      <c r="I3798" t="s">
        <v>45</v>
      </c>
      <c r="J3798">
        <v>0</v>
      </c>
      <c r="L3798">
        <v>121.044</v>
      </c>
      <c r="M3798">
        <v>4</v>
      </c>
    </row>
    <row r="3799" spans="1:13" x14ac:dyDescent="0.3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v>3803</v>
      </c>
      <c r="C3804" t="s">
        <v>977</v>
      </c>
      <c r="D3804" t="s">
        <v>66</v>
      </c>
      <c r="E3804">
        <v>2018</v>
      </c>
      <c r="F3804" t="s">
        <v>44</v>
      </c>
      <c r="G3804" t="s">
        <v>21</v>
      </c>
      <c r="H3804" t="s">
        <v>15</v>
      </c>
      <c r="I3804" t="s">
        <v>45</v>
      </c>
      <c r="J3804">
        <v>2.2403117E-2</v>
      </c>
      <c r="L3804">
        <v>250.9092</v>
      </c>
      <c r="M3804">
        <v>4</v>
      </c>
    </row>
    <row r="3805" spans="1:13" x14ac:dyDescent="0.3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v>3811</v>
      </c>
      <c r="C3812" t="s">
        <v>1425</v>
      </c>
      <c r="D3812" t="s">
        <v>12</v>
      </c>
      <c r="E3812">
        <v>2018</v>
      </c>
      <c r="F3812" t="s">
        <v>44</v>
      </c>
      <c r="G3812" t="s">
        <v>21</v>
      </c>
      <c r="H3812" t="s">
        <v>15</v>
      </c>
      <c r="I3812" t="s">
        <v>45</v>
      </c>
      <c r="J3812">
        <v>0.121712459</v>
      </c>
      <c r="L3812">
        <v>101.2016</v>
      </c>
      <c r="M3812">
        <v>4</v>
      </c>
    </row>
    <row r="3813" spans="1:13" x14ac:dyDescent="0.3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v>3816</v>
      </c>
      <c r="C3817" t="s">
        <v>1011</v>
      </c>
      <c r="D3817" t="s">
        <v>12</v>
      </c>
      <c r="E3817">
        <v>2018</v>
      </c>
      <c r="F3817" t="s">
        <v>44</v>
      </c>
      <c r="G3817" t="s">
        <v>21</v>
      </c>
      <c r="H3817" t="s">
        <v>15</v>
      </c>
      <c r="I3817" t="s">
        <v>45</v>
      </c>
      <c r="J3817">
        <v>0.112668963</v>
      </c>
      <c r="L3817">
        <v>191.0504</v>
      </c>
      <c r="M3817">
        <v>4</v>
      </c>
    </row>
    <row r="3818" spans="1:13" x14ac:dyDescent="0.3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v>3895</v>
      </c>
      <c r="C3896" t="s">
        <v>1291</v>
      </c>
      <c r="D3896" t="s">
        <v>32</v>
      </c>
      <c r="E3896">
        <v>2018</v>
      </c>
      <c r="F3896" t="s">
        <v>137</v>
      </c>
      <c r="G3896" t="s">
        <v>14</v>
      </c>
      <c r="H3896" t="s">
        <v>26</v>
      </c>
      <c r="I3896" t="s">
        <v>39</v>
      </c>
      <c r="J3896">
        <v>0.168780127</v>
      </c>
      <c r="L3896">
        <v>197.8768</v>
      </c>
      <c r="M3896">
        <v>3.9</v>
      </c>
    </row>
    <row r="3897" spans="1:13" x14ac:dyDescent="0.3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v>3899</v>
      </c>
      <c r="C3900" t="s">
        <v>1523</v>
      </c>
      <c r="D3900" t="s">
        <v>12</v>
      </c>
      <c r="E3900">
        <v>2018</v>
      </c>
      <c r="F3900" t="s">
        <v>137</v>
      </c>
      <c r="G3900" t="s">
        <v>14</v>
      </c>
      <c r="H3900" t="s">
        <v>26</v>
      </c>
      <c r="I3900" t="s">
        <v>39</v>
      </c>
      <c r="J3900">
        <v>0</v>
      </c>
      <c r="L3900">
        <v>126.6994</v>
      </c>
      <c r="M3900">
        <v>3.9</v>
      </c>
    </row>
    <row r="3901" spans="1:13" x14ac:dyDescent="0.3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v>3906</v>
      </c>
      <c r="C3907" t="s">
        <v>434</v>
      </c>
      <c r="D3907" t="s">
        <v>41</v>
      </c>
      <c r="E3907">
        <v>2018</v>
      </c>
      <c r="F3907" t="s">
        <v>137</v>
      </c>
      <c r="G3907" t="s">
        <v>14</v>
      </c>
      <c r="H3907" t="s">
        <v>26</v>
      </c>
      <c r="I3907" t="s">
        <v>39</v>
      </c>
      <c r="J3907">
        <v>2.8207784E-2</v>
      </c>
      <c r="L3907">
        <v>195.5478</v>
      </c>
      <c r="M3907">
        <v>3.9</v>
      </c>
    </row>
    <row r="3908" spans="1:13" x14ac:dyDescent="0.35">
      <c r="A3908" t="s">
        <v>17</v>
      </c>
      <c r="B3908">
        <v>3907</v>
      </c>
      <c r="C3908" t="s">
        <v>113</v>
      </c>
      <c r="D3908" t="s">
        <v>41</v>
      </c>
      <c r="E3908">
        <v>2018</v>
      </c>
      <c r="F3908" t="s">
        <v>137</v>
      </c>
      <c r="G3908" t="s">
        <v>14</v>
      </c>
      <c r="H3908" t="s">
        <v>26</v>
      </c>
      <c r="I3908" t="s">
        <v>39</v>
      </c>
      <c r="J3908">
        <v>0.19875618</v>
      </c>
      <c r="L3908">
        <v>250.7724</v>
      </c>
      <c r="M3908">
        <v>3.9</v>
      </c>
    </row>
    <row r="3909" spans="1:13" x14ac:dyDescent="0.35">
      <c r="A3909" t="s">
        <v>17</v>
      </c>
      <c r="B3909">
        <v>3908</v>
      </c>
      <c r="C3909" t="s">
        <v>1317</v>
      </c>
      <c r="D3909" t="s">
        <v>63</v>
      </c>
      <c r="E3909">
        <v>2018</v>
      </c>
      <c r="F3909" t="s">
        <v>137</v>
      </c>
      <c r="G3909" t="s">
        <v>14</v>
      </c>
      <c r="H3909" t="s">
        <v>26</v>
      </c>
      <c r="I3909" t="s">
        <v>39</v>
      </c>
      <c r="J3909">
        <v>0.159394437</v>
      </c>
      <c r="L3909">
        <v>105.6938</v>
      </c>
      <c r="M3909">
        <v>3.9</v>
      </c>
    </row>
    <row r="3910" spans="1:13" x14ac:dyDescent="0.3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v>3910</v>
      </c>
      <c r="C3911" t="s">
        <v>1413</v>
      </c>
      <c r="D3911" t="s">
        <v>66</v>
      </c>
      <c r="E3911">
        <v>2018</v>
      </c>
      <c r="F3911" t="s">
        <v>137</v>
      </c>
      <c r="G3911" t="s">
        <v>14</v>
      </c>
      <c r="H3911" t="s">
        <v>26</v>
      </c>
      <c r="I3911" t="s">
        <v>39</v>
      </c>
      <c r="J3911">
        <v>1.4497036E-2</v>
      </c>
      <c r="L3911">
        <v>150.8708</v>
      </c>
      <c r="M3911">
        <v>3.9</v>
      </c>
    </row>
    <row r="3912" spans="1:13" x14ac:dyDescent="0.3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420</v>
      </c>
      <c r="D4067" t="s">
        <v>94</v>
      </c>
      <c r="E4067">
        <v>2014</v>
      </c>
      <c r="F4067" t="s">
        <v>29</v>
      </c>
      <c r="G4067" t="s">
        <v>21</v>
      </c>
      <c r="H4067" t="s">
        <v>30</v>
      </c>
      <c r="I4067" t="s">
        <v>16</v>
      </c>
      <c r="J4067">
        <v>0</v>
      </c>
      <c r="K4067">
        <v>6.78</v>
      </c>
      <c r="L4067">
        <v>94.012</v>
      </c>
      <c r="M4067">
        <v>3.9</v>
      </c>
    </row>
    <row r="4068" spans="1:13" x14ac:dyDescent="0.3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v>4109</v>
      </c>
      <c r="C4110" t="s">
        <v>80</v>
      </c>
      <c r="D4110" t="s">
        <v>12</v>
      </c>
      <c r="E4110">
        <v>2018</v>
      </c>
      <c r="F4110" t="s">
        <v>44</v>
      </c>
      <c r="G4110" t="s">
        <v>21</v>
      </c>
      <c r="H4110" t="s">
        <v>15</v>
      </c>
      <c r="I4110" t="s">
        <v>45</v>
      </c>
      <c r="J4110">
        <v>0</v>
      </c>
      <c r="L4110">
        <v>45.940199999999997</v>
      </c>
      <c r="M4110">
        <v>3.9</v>
      </c>
    </row>
    <row r="4111" spans="1:13" x14ac:dyDescent="0.35">
      <c r="A4111" t="s">
        <v>17</v>
      </c>
      <c r="B411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v>4115</v>
      </c>
      <c r="C4116" t="s">
        <v>1476</v>
      </c>
      <c r="D4116" t="s">
        <v>41</v>
      </c>
      <c r="E4116">
        <v>2018</v>
      </c>
      <c r="F4116" t="s">
        <v>44</v>
      </c>
      <c r="G4116" t="s">
        <v>21</v>
      </c>
      <c r="H4116" t="s">
        <v>15</v>
      </c>
      <c r="I4116" t="s">
        <v>45</v>
      </c>
      <c r="J4116">
        <v>0.134418705</v>
      </c>
      <c r="L4116">
        <v>99.67</v>
      </c>
      <c r="M4116">
        <v>3.9</v>
      </c>
    </row>
    <row r="4117" spans="1:13" x14ac:dyDescent="0.3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v>4118</v>
      </c>
      <c r="C4119" t="s">
        <v>1536</v>
      </c>
      <c r="D4119" t="s">
        <v>32</v>
      </c>
      <c r="E4119">
        <v>2018</v>
      </c>
      <c r="F4119" t="s">
        <v>44</v>
      </c>
      <c r="G4119" t="s">
        <v>21</v>
      </c>
      <c r="H4119" t="s">
        <v>15</v>
      </c>
      <c r="I4119" t="s">
        <v>45</v>
      </c>
      <c r="J4119">
        <v>0</v>
      </c>
      <c r="L4119">
        <v>153.80240000000001</v>
      </c>
      <c r="M4119">
        <v>3.9</v>
      </c>
    </row>
    <row r="4120" spans="1:13" x14ac:dyDescent="0.3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v>4123</v>
      </c>
      <c r="C4124" t="s">
        <v>1483</v>
      </c>
      <c r="D4124" t="s">
        <v>12</v>
      </c>
      <c r="E4124">
        <v>2018</v>
      </c>
      <c r="F4124" t="s">
        <v>44</v>
      </c>
      <c r="G4124" t="s">
        <v>21</v>
      </c>
      <c r="H4124" t="s">
        <v>15</v>
      </c>
      <c r="I4124" t="s">
        <v>45</v>
      </c>
      <c r="J4124">
        <v>2.2807826E-2</v>
      </c>
      <c r="L4124">
        <v>183.495</v>
      </c>
      <c r="M4124">
        <v>3.9</v>
      </c>
    </row>
    <row r="4125" spans="1:13" x14ac:dyDescent="0.3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v>4179</v>
      </c>
      <c r="C4180" t="s">
        <v>643</v>
      </c>
      <c r="D4180" t="s">
        <v>32</v>
      </c>
      <c r="E4180">
        <v>2018</v>
      </c>
      <c r="F4180" t="s">
        <v>137</v>
      </c>
      <c r="G4180" t="s">
        <v>14</v>
      </c>
      <c r="H4180" t="s">
        <v>26</v>
      </c>
      <c r="I4180" t="s">
        <v>39</v>
      </c>
      <c r="J4180">
        <v>3.3929133E-2</v>
      </c>
      <c r="L4180">
        <v>154.3972</v>
      </c>
      <c r="M4180">
        <v>3.8</v>
      </c>
    </row>
    <row r="4181" spans="1:13" x14ac:dyDescent="0.3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v>4181</v>
      </c>
      <c r="C4182" t="s">
        <v>1060</v>
      </c>
      <c r="D4182" t="s">
        <v>94</v>
      </c>
      <c r="E4182">
        <v>2018</v>
      </c>
      <c r="F4182" t="s">
        <v>137</v>
      </c>
      <c r="G4182" t="s">
        <v>14</v>
      </c>
      <c r="H4182" t="s">
        <v>26</v>
      </c>
      <c r="I4182" t="s">
        <v>39</v>
      </c>
      <c r="J4182">
        <v>0</v>
      </c>
      <c r="L4182">
        <v>81.861800000000002</v>
      </c>
      <c r="M4182">
        <v>3.8</v>
      </c>
    </row>
    <row r="4183" spans="1:13" x14ac:dyDescent="0.35">
      <c r="A4183" t="s">
        <v>17</v>
      </c>
      <c r="B4183">
        <v>4182</v>
      </c>
      <c r="C4183" t="s">
        <v>765</v>
      </c>
      <c r="D4183" t="s">
        <v>28</v>
      </c>
      <c r="E4183">
        <v>2018</v>
      </c>
      <c r="F4183" t="s">
        <v>137</v>
      </c>
      <c r="G4183" t="s">
        <v>14</v>
      </c>
      <c r="H4183" t="s">
        <v>26</v>
      </c>
      <c r="I4183" t="s">
        <v>39</v>
      </c>
      <c r="J4183">
        <v>1.9716846E-2</v>
      </c>
      <c r="L4183">
        <v>191.9188</v>
      </c>
      <c r="M4183">
        <v>3.8</v>
      </c>
    </row>
    <row r="4184" spans="1:13" x14ac:dyDescent="0.3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v>4187</v>
      </c>
      <c r="C4188" t="s">
        <v>630</v>
      </c>
      <c r="D4188" t="s">
        <v>63</v>
      </c>
      <c r="E4188">
        <v>2018</v>
      </c>
      <c r="F4188" t="s">
        <v>137</v>
      </c>
      <c r="G4188" t="s">
        <v>14</v>
      </c>
      <c r="H4188" t="s">
        <v>26</v>
      </c>
      <c r="I4188" t="s">
        <v>39</v>
      </c>
      <c r="J4188">
        <v>1.1835436E-2</v>
      </c>
      <c r="L4188">
        <v>121.373</v>
      </c>
      <c r="M4188">
        <v>3.8</v>
      </c>
    </row>
    <row r="4189" spans="1:13" x14ac:dyDescent="0.35">
      <c r="A4189" t="s">
        <v>10</v>
      </c>
      <c r="B4189">
        <v>4188</v>
      </c>
      <c r="C4189" t="s">
        <v>419</v>
      </c>
      <c r="D4189" t="s">
        <v>94</v>
      </c>
      <c r="E4189">
        <v>2018</v>
      </c>
      <c r="F4189" t="s">
        <v>137</v>
      </c>
      <c r="G4189" t="s">
        <v>14</v>
      </c>
      <c r="H4189" t="s">
        <v>26</v>
      </c>
      <c r="I4189" t="s">
        <v>39</v>
      </c>
      <c r="J4189">
        <v>0</v>
      </c>
      <c r="L4189">
        <v>121.3098</v>
      </c>
      <c r="M4189">
        <v>3.8</v>
      </c>
    </row>
    <row r="4190" spans="1:13" x14ac:dyDescent="0.35">
      <c r="A4190" t="s">
        <v>10</v>
      </c>
      <c r="B4190">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v>4362</v>
      </c>
      <c r="C4363" t="s">
        <v>142</v>
      </c>
      <c r="D4363" t="s">
        <v>12</v>
      </c>
      <c r="E4363">
        <v>2018</v>
      </c>
      <c r="F4363" t="s">
        <v>44</v>
      </c>
      <c r="G4363" t="s">
        <v>21</v>
      </c>
      <c r="H4363" t="s">
        <v>15</v>
      </c>
      <c r="I4363" t="s">
        <v>45</v>
      </c>
      <c r="J4363">
        <v>2.5612348E-2</v>
      </c>
      <c r="L4363">
        <v>168.2474</v>
      </c>
      <c r="M4363">
        <v>3.8</v>
      </c>
    </row>
    <row r="4364" spans="1:13" x14ac:dyDescent="0.3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v>4388</v>
      </c>
      <c r="C4389" t="s">
        <v>608</v>
      </c>
      <c r="D4389" t="s">
        <v>41</v>
      </c>
      <c r="E4389">
        <v>2018</v>
      </c>
      <c r="F4389" t="s">
        <v>44</v>
      </c>
      <c r="G4389" t="s">
        <v>21</v>
      </c>
      <c r="H4389" t="s">
        <v>15</v>
      </c>
      <c r="I4389" t="s">
        <v>45</v>
      </c>
      <c r="J4389">
        <v>2.8459761E-2</v>
      </c>
      <c r="L4389">
        <v>149.9708</v>
      </c>
      <c r="M4389">
        <v>3.7</v>
      </c>
    </row>
    <row r="4390" spans="1:13" x14ac:dyDescent="0.3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v>4394</v>
      </c>
      <c r="C4395" t="s">
        <v>1510</v>
      </c>
      <c r="D4395" t="s">
        <v>28</v>
      </c>
      <c r="E4395">
        <v>2018</v>
      </c>
      <c r="F4395" t="s">
        <v>44</v>
      </c>
      <c r="G4395" t="s">
        <v>21</v>
      </c>
      <c r="H4395" t="s">
        <v>15</v>
      </c>
      <c r="I4395" t="s">
        <v>45</v>
      </c>
      <c r="J4395">
        <v>0.101338651</v>
      </c>
      <c r="L4395">
        <v>232.63</v>
      </c>
      <c r="M4395">
        <v>3.7</v>
      </c>
    </row>
    <row r="4396" spans="1:13" x14ac:dyDescent="0.3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v>4434</v>
      </c>
      <c r="C4435" t="s">
        <v>82</v>
      </c>
      <c r="D4435" t="s">
        <v>12</v>
      </c>
      <c r="E4435">
        <v>2018</v>
      </c>
      <c r="F4435" t="s">
        <v>137</v>
      </c>
      <c r="G4435" t="s">
        <v>14</v>
      </c>
      <c r="H4435" t="s">
        <v>26</v>
      </c>
      <c r="I4435" t="s">
        <v>39</v>
      </c>
      <c r="J4435">
        <v>0.100493148</v>
      </c>
      <c r="L4435">
        <v>123.1046</v>
      </c>
      <c r="M4435">
        <v>3.7</v>
      </c>
    </row>
    <row r="4436" spans="1:13" x14ac:dyDescent="0.3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v>4587</v>
      </c>
      <c r="C4588" t="s">
        <v>134</v>
      </c>
      <c r="D4588" t="s">
        <v>94</v>
      </c>
      <c r="E4588">
        <v>2018</v>
      </c>
      <c r="F4588" t="s">
        <v>44</v>
      </c>
      <c r="G4588" t="s">
        <v>21</v>
      </c>
      <c r="H4588" t="s">
        <v>15</v>
      </c>
      <c r="I4588" t="s">
        <v>45</v>
      </c>
      <c r="J4588">
        <v>0</v>
      </c>
      <c r="L4588">
        <v>75.9328</v>
      </c>
      <c r="M4588">
        <v>3.7</v>
      </c>
    </row>
    <row r="4589" spans="1:13" x14ac:dyDescent="0.3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v>4624</v>
      </c>
      <c r="C4625" t="s">
        <v>245</v>
      </c>
      <c r="D4625" t="s">
        <v>47</v>
      </c>
      <c r="E4625">
        <v>2018</v>
      </c>
      <c r="F4625" t="s">
        <v>137</v>
      </c>
      <c r="G4625" t="s">
        <v>14</v>
      </c>
      <c r="H4625" t="s">
        <v>26</v>
      </c>
      <c r="I4625" t="s">
        <v>39</v>
      </c>
      <c r="J4625">
        <v>0.160665697</v>
      </c>
      <c r="L4625">
        <v>227.5352</v>
      </c>
      <c r="M4625">
        <v>3.6</v>
      </c>
    </row>
    <row r="4626" spans="1:13" x14ac:dyDescent="0.3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v>4628</v>
      </c>
      <c r="C4629" t="s">
        <v>261</v>
      </c>
      <c r="D4629" t="s">
        <v>47</v>
      </c>
      <c r="E4629">
        <v>2018</v>
      </c>
      <c r="F4629" t="s">
        <v>137</v>
      </c>
      <c r="G4629" t="s">
        <v>14</v>
      </c>
      <c r="H4629" t="s">
        <v>26</v>
      </c>
      <c r="I4629" t="s">
        <v>39</v>
      </c>
      <c r="J4629">
        <v>0</v>
      </c>
      <c r="L4629">
        <v>262.89100000000002</v>
      </c>
      <c r="M4629">
        <v>3.6</v>
      </c>
    </row>
    <row r="4630" spans="1:13" x14ac:dyDescent="0.3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501</v>
      </c>
      <c r="D4729" t="s">
        <v>66</v>
      </c>
      <c r="E4729">
        <v>2018</v>
      </c>
      <c r="F4729" t="s">
        <v>44</v>
      </c>
      <c r="G4729" t="s">
        <v>21</v>
      </c>
      <c r="H4729" t="s">
        <v>15</v>
      </c>
      <c r="I4729" t="s">
        <v>45</v>
      </c>
      <c r="J4729">
        <v>0</v>
      </c>
      <c r="L4729">
        <v>89.185599999999994</v>
      </c>
      <c r="M4729">
        <v>3.6</v>
      </c>
    </row>
    <row r="4730" spans="1:13" x14ac:dyDescent="0.3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v>4786</v>
      </c>
      <c r="C4787" t="s">
        <v>884</v>
      </c>
      <c r="D4787" t="s">
        <v>53</v>
      </c>
      <c r="E4787">
        <v>2018</v>
      </c>
      <c r="F4787" t="s">
        <v>137</v>
      </c>
      <c r="G4787" t="s">
        <v>14</v>
      </c>
      <c r="H4787" t="s">
        <v>26</v>
      </c>
      <c r="I4787" t="s">
        <v>39</v>
      </c>
      <c r="J4787">
        <v>0</v>
      </c>
      <c r="L4787">
        <v>98.2042</v>
      </c>
      <c r="M4787">
        <v>3.5</v>
      </c>
    </row>
    <row r="4788" spans="1:13" x14ac:dyDescent="0.3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v>4897</v>
      </c>
      <c r="C4898" t="s">
        <v>873</v>
      </c>
      <c r="D4898" t="s">
        <v>56</v>
      </c>
      <c r="E4898">
        <v>2018</v>
      </c>
      <c r="F4898" t="s">
        <v>44</v>
      </c>
      <c r="G4898" t="s">
        <v>21</v>
      </c>
      <c r="H4898" t="s">
        <v>15</v>
      </c>
      <c r="I4898" t="s">
        <v>45</v>
      </c>
      <c r="J4898">
        <v>0.105324246</v>
      </c>
      <c r="L4898">
        <v>125.7046</v>
      </c>
      <c r="M4898">
        <v>3.5</v>
      </c>
    </row>
    <row r="4899" spans="1:13" x14ac:dyDescent="0.3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v>4899</v>
      </c>
      <c r="C4900" t="s">
        <v>826</v>
      </c>
      <c r="D4900" t="s">
        <v>66</v>
      </c>
      <c r="E4900">
        <v>2018</v>
      </c>
      <c r="F4900" t="s">
        <v>44</v>
      </c>
      <c r="G4900" t="s">
        <v>21</v>
      </c>
      <c r="H4900" t="s">
        <v>15</v>
      </c>
      <c r="I4900" t="s">
        <v>45</v>
      </c>
      <c r="J4900">
        <v>0.119371835</v>
      </c>
      <c r="L4900">
        <v>45.2744</v>
      </c>
      <c r="M4900">
        <v>3.5</v>
      </c>
    </row>
    <row r="4901" spans="1:13" x14ac:dyDescent="0.3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v>4902</v>
      </c>
      <c r="C4903" t="s">
        <v>1575</v>
      </c>
      <c r="D4903" t="s">
        <v>12</v>
      </c>
      <c r="E4903">
        <v>2018</v>
      </c>
      <c r="F4903" t="s">
        <v>44</v>
      </c>
      <c r="G4903" t="s">
        <v>21</v>
      </c>
      <c r="H4903" t="s">
        <v>15</v>
      </c>
      <c r="I4903" t="s">
        <v>45</v>
      </c>
      <c r="J4903">
        <v>0</v>
      </c>
      <c r="L4903">
        <v>55.729799999999997</v>
      </c>
      <c r="M4903">
        <v>3.5</v>
      </c>
    </row>
    <row r="4904" spans="1:13" x14ac:dyDescent="0.35">
      <c r="A4904" t="s">
        <v>17</v>
      </c>
      <c r="B4904">
        <v>4903</v>
      </c>
      <c r="C4904" t="s">
        <v>1278</v>
      </c>
      <c r="D4904" t="s">
        <v>12</v>
      </c>
      <c r="E4904">
        <v>2018</v>
      </c>
      <c r="F4904" t="s">
        <v>44</v>
      </c>
      <c r="G4904" t="s">
        <v>21</v>
      </c>
      <c r="H4904" t="s">
        <v>15</v>
      </c>
      <c r="I4904" t="s">
        <v>45</v>
      </c>
      <c r="J4904">
        <v>1.2215675E-2</v>
      </c>
      <c r="L4904">
        <v>162.7894</v>
      </c>
      <c r="M4904">
        <v>3.5</v>
      </c>
    </row>
    <row r="4905" spans="1:13" x14ac:dyDescent="0.3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v>4912</v>
      </c>
      <c r="C4913" t="s">
        <v>1576</v>
      </c>
      <c r="D4913" t="s">
        <v>66</v>
      </c>
      <c r="E4913">
        <v>2018</v>
      </c>
      <c r="F4913" t="s">
        <v>44</v>
      </c>
      <c r="G4913" t="s">
        <v>21</v>
      </c>
      <c r="H4913" t="s">
        <v>15</v>
      </c>
      <c r="I4913" t="s">
        <v>45</v>
      </c>
      <c r="J4913">
        <v>0</v>
      </c>
      <c r="L4913">
        <v>184.26079999999999</v>
      </c>
      <c r="M4913">
        <v>3.5</v>
      </c>
    </row>
    <row r="4914" spans="1:13" x14ac:dyDescent="0.3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v>4934</v>
      </c>
      <c r="C4935" t="s">
        <v>1056</v>
      </c>
      <c r="D4935" t="s">
        <v>47</v>
      </c>
      <c r="E4935">
        <v>2018</v>
      </c>
      <c r="F4935" t="s">
        <v>137</v>
      </c>
      <c r="G4935" t="s">
        <v>14</v>
      </c>
      <c r="H4935" t="s">
        <v>26</v>
      </c>
      <c r="I4935" t="s">
        <v>39</v>
      </c>
      <c r="J4935">
        <v>6.216667E-2</v>
      </c>
      <c r="L4935">
        <v>112.3518</v>
      </c>
      <c r="M4935">
        <v>3.4</v>
      </c>
    </row>
    <row r="4936" spans="1:13" x14ac:dyDescent="0.3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v>5021</v>
      </c>
      <c r="C5022" t="s">
        <v>625</v>
      </c>
      <c r="D5022" t="s">
        <v>19</v>
      </c>
      <c r="E5022">
        <v>2018</v>
      </c>
      <c r="F5022" t="s">
        <v>137</v>
      </c>
      <c r="G5022" t="s">
        <v>14</v>
      </c>
      <c r="H5022" t="s">
        <v>26</v>
      </c>
      <c r="I5022" t="s">
        <v>39</v>
      </c>
      <c r="J5022">
        <v>9.1411749E-2</v>
      </c>
      <c r="L5022">
        <v>121.373</v>
      </c>
      <c r="M5022">
        <v>3.3</v>
      </c>
    </row>
    <row r="5023" spans="1:13" x14ac:dyDescent="0.3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494</v>
      </c>
      <c r="D5112" t="s">
        <v>66</v>
      </c>
      <c r="E5112">
        <v>2018</v>
      </c>
      <c r="F5112" t="s">
        <v>44</v>
      </c>
      <c r="G5112" t="s">
        <v>21</v>
      </c>
      <c r="H5112" t="s">
        <v>15</v>
      </c>
      <c r="I5112" t="s">
        <v>45</v>
      </c>
      <c r="J5112">
        <v>0</v>
      </c>
      <c r="L5112">
        <v>175.30279999999999</v>
      </c>
      <c r="M5112">
        <v>3.3</v>
      </c>
    </row>
    <row r="5113" spans="1:13" x14ac:dyDescent="0.3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v>5169</v>
      </c>
      <c r="C5170" t="s">
        <v>667</v>
      </c>
      <c r="D5170" t="s">
        <v>12</v>
      </c>
      <c r="E5170">
        <v>2018</v>
      </c>
      <c r="F5170" t="s">
        <v>44</v>
      </c>
      <c r="G5170" t="s">
        <v>21</v>
      </c>
      <c r="H5170" t="s">
        <v>15</v>
      </c>
      <c r="I5170" t="s">
        <v>45</v>
      </c>
      <c r="J5170">
        <v>0</v>
      </c>
      <c r="L5170">
        <v>255.7988</v>
      </c>
      <c r="M5170">
        <v>3.2</v>
      </c>
    </row>
    <row r="5171" spans="1:13" x14ac:dyDescent="0.3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v>5220</v>
      </c>
      <c r="C5221" t="s">
        <v>806</v>
      </c>
      <c r="D5221" t="s">
        <v>12</v>
      </c>
      <c r="E5221">
        <v>2018</v>
      </c>
      <c r="F5221" t="s">
        <v>44</v>
      </c>
      <c r="G5221" t="s">
        <v>21</v>
      </c>
      <c r="H5221" t="s">
        <v>15</v>
      </c>
      <c r="I5221" t="s">
        <v>45</v>
      </c>
      <c r="J5221">
        <v>2.9510313E-2</v>
      </c>
      <c r="L5221">
        <v>141.9838</v>
      </c>
      <c r="M5221">
        <v>3.1</v>
      </c>
    </row>
    <row r="5222" spans="1:13" x14ac:dyDescent="0.35">
      <c r="A5222" t="s">
        <v>10</v>
      </c>
      <c r="B5222">
        <v>5221</v>
      </c>
      <c r="C5222" t="s">
        <v>456</v>
      </c>
      <c r="D5222" t="s">
        <v>53</v>
      </c>
      <c r="E5222">
        <v>2018</v>
      </c>
      <c r="F5222" t="s">
        <v>44</v>
      </c>
      <c r="G5222" t="s">
        <v>21</v>
      </c>
      <c r="H5222" t="s">
        <v>15</v>
      </c>
      <c r="I5222" t="s">
        <v>45</v>
      </c>
      <c r="J5222">
        <v>3.3276066E-2</v>
      </c>
      <c r="L5222">
        <v>153.8314</v>
      </c>
      <c r="M5222">
        <v>3.1</v>
      </c>
    </row>
    <row r="5223" spans="1:13" x14ac:dyDescent="0.3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390</v>
      </c>
      <c r="D5243" t="s">
        <v>47</v>
      </c>
      <c r="E5243">
        <v>2018</v>
      </c>
      <c r="F5243" t="s">
        <v>44</v>
      </c>
      <c r="G5243" t="s">
        <v>21</v>
      </c>
      <c r="H5243" t="s">
        <v>15</v>
      </c>
      <c r="I5243" t="s">
        <v>45</v>
      </c>
      <c r="J5243">
        <v>0.154627247</v>
      </c>
      <c r="L5243">
        <v>177.637</v>
      </c>
      <c r="M5243">
        <v>3</v>
      </c>
    </row>
    <row r="5244" spans="1:13" x14ac:dyDescent="0.3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v>5273</v>
      </c>
      <c r="C5274" t="s">
        <v>853</v>
      </c>
      <c r="D5274" t="s">
        <v>66</v>
      </c>
      <c r="E5274">
        <v>2018</v>
      </c>
      <c r="F5274" t="s">
        <v>137</v>
      </c>
      <c r="G5274" t="s">
        <v>14</v>
      </c>
      <c r="H5274" t="s">
        <v>26</v>
      </c>
      <c r="I5274" t="s">
        <v>39</v>
      </c>
      <c r="J5274">
        <v>0</v>
      </c>
      <c r="L5274">
        <v>75.966999999999999</v>
      </c>
      <c r="M5274">
        <v>3</v>
      </c>
    </row>
    <row r="5275" spans="1:13" x14ac:dyDescent="0.3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v>5396</v>
      </c>
      <c r="C5397" t="s">
        <v>1301</v>
      </c>
      <c r="D5397" t="s">
        <v>28</v>
      </c>
      <c r="E5397">
        <v>2018</v>
      </c>
      <c r="F5397" t="s">
        <v>44</v>
      </c>
      <c r="G5397" t="s">
        <v>21</v>
      </c>
      <c r="H5397" t="s">
        <v>15</v>
      </c>
      <c r="I5397" t="s">
        <v>45</v>
      </c>
      <c r="J5397">
        <v>0.14095631</v>
      </c>
      <c r="L5397">
        <v>167.7132</v>
      </c>
      <c r="M5397">
        <v>3</v>
      </c>
    </row>
    <row r="5398" spans="1:13" x14ac:dyDescent="0.3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v>5401</v>
      </c>
      <c r="C5402" t="s">
        <v>40</v>
      </c>
      <c r="D5402" t="s">
        <v>41</v>
      </c>
      <c r="E5402">
        <v>2018</v>
      </c>
      <c r="F5402" t="s">
        <v>44</v>
      </c>
      <c r="G5402" t="s">
        <v>21</v>
      </c>
      <c r="H5402" t="s">
        <v>15</v>
      </c>
      <c r="I5402" t="s">
        <v>45</v>
      </c>
      <c r="J5402">
        <v>0</v>
      </c>
      <c r="L5402">
        <v>98.172600000000003</v>
      </c>
      <c r="M5402">
        <v>3</v>
      </c>
    </row>
    <row r="5403" spans="1:13" x14ac:dyDescent="0.35">
      <c r="A5403" t="s">
        <v>17</v>
      </c>
      <c r="B5403">
        <v>5402</v>
      </c>
      <c r="C5403" t="s">
        <v>1249</v>
      </c>
      <c r="D5403" t="s">
        <v>41</v>
      </c>
      <c r="E5403">
        <v>2018</v>
      </c>
      <c r="F5403" t="s">
        <v>44</v>
      </c>
      <c r="G5403" t="s">
        <v>21</v>
      </c>
      <c r="H5403" t="s">
        <v>15</v>
      </c>
      <c r="I5403" t="s">
        <v>45</v>
      </c>
      <c r="J5403">
        <v>0.111777297</v>
      </c>
      <c r="L5403">
        <v>124.6046</v>
      </c>
      <c r="M5403">
        <v>3</v>
      </c>
    </row>
    <row r="5404" spans="1:13" x14ac:dyDescent="0.3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v>5421</v>
      </c>
      <c r="C5422" t="s">
        <v>567</v>
      </c>
      <c r="D5422" t="s">
        <v>32</v>
      </c>
      <c r="E5422">
        <v>2018</v>
      </c>
      <c r="F5422" t="s">
        <v>137</v>
      </c>
      <c r="G5422" t="s">
        <v>14</v>
      </c>
      <c r="H5422" t="s">
        <v>26</v>
      </c>
      <c r="I5422" t="s">
        <v>39</v>
      </c>
      <c r="J5422">
        <v>0</v>
      </c>
      <c r="L5422">
        <v>261.291</v>
      </c>
      <c r="M5422">
        <v>2.9</v>
      </c>
    </row>
    <row r="5423" spans="1:13" x14ac:dyDescent="0.3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v>5483</v>
      </c>
      <c r="C5484" t="s">
        <v>1084</v>
      </c>
      <c r="D5484" t="s">
        <v>19</v>
      </c>
      <c r="E5484">
        <v>2018</v>
      </c>
      <c r="F5484" t="s">
        <v>44</v>
      </c>
      <c r="G5484" t="s">
        <v>21</v>
      </c>
      <c r="H5484" t="s">
        <v>15</v>
      </c>
      <c r="I5484" t="s">
        <v>45</v>
      </c>
      <c r="J5484">
        <v>0.174336148</v>
      </c>
      <c r="L5484">
        <v>184.0608</v>
      </c>
      <c r="M5484">
        <v>2.8</v>
      </c>
    </row>
    <row r="5485" spans="1:13" x14ac:dyDescent="0.3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1522</v>
      </c>
      <c r="D5538" t="s">
        <v>47</v>
      </c>
      <c r="E5538">
        <v>2018</v>
      </c>
      <c r="F5538" t="s">
        <v>137</v>
      </c>
      <c r="G5538" t="s">
        <v>14</v>
      </c>
      <c r="H5538" t="s">
        <v>26</v>
      </c>
      <c r="I5538" t="s">
        <v>39</v>
      </c>
      <c r="J5538">
        <v>0</v>
      </c>
      <c r="L5538">
        <v>154.53399999999999</v>
      </c>
      <c r="M5538">
        <v>2.5</v>
      </c>
    </row>
    <row r="5539" spans="1:13" x14ac:dyDescent="0.3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1532</v>
      </c>
      <c r="D5622" t="s">
        <v>24</v>
      </c>
      <c r="E5622">
        <v>2018</v>
      </c>
      <c r="F5622" t="s">
        <v>44</v>
      </c>
      <c r="G5622" t="s">
        <v>21</v>
      </c>
      <c r="H5622" t="s">
        <v>15</v>
      </c>
      <c r="I5622" t="s">
        <v>45</v>
      </c>
      <c r="J5622">
        <v>0</v>
      </c>
      <c r="L5622">
        <v>37.050600000000003</v>
      </c>
      <c r="M5622">
        <v>2.1</v>
      </c>
    </row>
    <row r="5623" spans="1:13" x14ac:dyDescent="0.3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v>5693</v>
      </c>
      <c r="C5694" t="s">
        <v>1107</v>
      </c>
      <c r="D5694" t="s">
        <v>12</v>
      </c>
      <c r="E5694">
        <v>2018</v>
      </c>
      <c r="F5694" t="s">
        <v>44</v>
      </c>
      <c r="G5694" t="s">
        <v>21</v>
      </c>
      <c r="H5694" t="s">
        <v>15</v>
      </c>
      <c r="I5694" t="s">
        <v>45</v>
      </c>
      <c r="J5694">
        <v>0.11995987299999999</v>
      </c>
      <c r="L5694">
        <v>45.506</v>
      </c>
      <c r="M5694">
        <v>2</v>
      </c>
    </row>
    <row r="5695" spans="1:13" x14ac:dyDescent="0.3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v>5703</v>
      </c>
      <c r="C5704" t="s">
        <v>311</v>
      </c>
      <c r="D5704" t="s">
        <v>28</v>
      </c>
      <c r="E5704">
        <v>2018</v>
      </c>
      <c r="F5704" t="s">
        <v>137</v>
      </c>
      <c r="G5704" t="s">
        <v>14</v>
      </c>
      <c r="H5704" t="s">
        <v>26</v>
      </c>
      <c r="I5704" t="s">
        <v>39</v>
      </c>
      <c r="J5704">
        <v>0.1263349</v>
      </c>
      <c r="L5704">
        <v>184.0924</v>
      </c>
      <c r="M5704">
        <v>1.7</v>
      </c>
    </row>
    <row r="5705" spans="1:13" x14ac:dyDescent="0.3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v>5801</v>
      </c>
      <c r="C5802" t="s">
        <v>1290</v>
      </c>
      <c r="D5802" t="s">
        <v>47</v>
      </c>
      <c r="E5802">
        <v>2017</v>
      </c>
      <c r="F5802" t="s">
        <v>49</v>
      </c>
      <c r="G5802" t="s">
        <v>34</v>
      </c>
      <c r="H5802" t="s">
        <v>26</v>
      </c>
      <c r="I5802" t="s">
        <v>16</v>
      </c>
      <c r="J5802">
        <v>0</v>
      </c>
      <c r="K5802">
        <v>15</v>
      </c>
      <c r="L5802">
        <v>47.2744</v>
      </c>
      <c r="M5802">
        <v>1</v>
      </c>
    </row>
    <row r="5803" spans="1:13" x14ac:dyDescent="0.3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v>5829</v>
      </c>
      <c r="C5830" t="s">
        <v>1501</v>
      </c>
      <c r="D5830" t="s">
        <v>94</v>
      </c>
      <c r="E5830">
        <v>2018</v>
      </c>
      <c r="F5830" t="s">
        <v>44</v>
      </c>
      <c r="G5830" t="s">
        <v>21</v>
      </c>
      <c r="H5830" t="s">
        <v>15</v>
      </c>
      <c r="I5830" t="s">
        <v>45</v>
      </c>
      <c r="J5830">
        <v>0</v>
      </c>
      <c r="L5830">
        <v>196.50839999999999</v>
      </c>
      <c r="M5830">
        <v>1</v>
      </c>
    </row>
    <row r="5831" spans="1:13" x14ac:dyDescent="0.35">
      <c r="A5831" t="s">
        <v>17</v>
      </c>
      <c r="B5831">
        <v>5830</v>
      </c>
      <c r="C5831" t="s">
        <v>819</v>
      </c>
      <c r="D5831" t="s">
        <v>12</v>
      </c>
      <c r="E5831">
        <v>2018</v>
      </c>
      <c r="F5831" t="s">
        <v>44</v>
      </c>
      <c r="G5831" t="s">
        <v>21</v>
      </c>
      <c r="H5831" t="s">
        <v>15</v>
      </c>
      <c r="I5831" t="s">
        <v>45</v>
      </c>
      <c r="J5831">
        <v>2.5841875E-2</v>
      </c>
      <c r="L5831">
        <v>120.7414</v>
      </c>
      <c r="M5831">
        <v>1</v>
      </c>
    </row>
    <row r="5832" spans="1:13" x14ac:dyDescent="0.35">
      <c r="A5832" t="s">
        <v>17</v>
      </c>
      <c r="B5832">
        <v>5831</v>
      </c>
      <c r="C5832" t="s">
        <v>234</v>
      </c>
      <c r="D5832" t="s">
        <v>60</v>
      </c>
      <c r="E5832">
        <v>2018</v>
      </c>
      <c r="F5832" t="s">
        <v>44</v>
      </c>
      <c r="G5832" t="s">
        <v>21</v>
      </c>
      <c r="H5832" t="s">
        <v>15</v>
      </c>
      <c r="I5832" t="s">
        <v>45</v>
      </c>
      <c r="J5832">
        <v>0</v>
      </c>
      <c r="L5832">
        <v>171.7422</v>
      </c>
      <c r="M5832">
        <v>1</v>
      </c>
    </row>
    <row r="5833" spans="1:13" x14ac:dyDescent="0.3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v>5834</v>
      </c>
      <c r="C5835" t="s">
        <v>305</v>
      </c>
      <c r="D5835" t="s">
        <v>47</v>
      </c>
      <c r="E5835">
        <v>2018</v>
      </c>
      <c r="F5835" t="s">
        <v>44</v>
      </c>
      <c r="G5835" t="s">
        <v>21</v>
      </c>
      <c r="H5835" t="s">
        <v>15</v>
      </c>
      <c r="I5835" t="s">
        <v>45</v>
      </c>
      <c r="J5835">
        <v>4.9066248E-2</v>
      </c>
      <c r="L5835">
        <v>192.4478</v>
      </c>
      <c r="M5835">
        <v>1</v>
      </c>
    </row>
    <row r="5836" spans="1:13" x14ac:dyDescent="0.3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v>5837</v>
      </c>
      <c r="C5838" t="s">
        <v>189</v>
      </c>
      <c r="D5838" t="s">
        <v>24</v>
      </c>
      <c r="E5838">
        <v>2018</v>
      </c>
      <c r="F5838" t="s">
        <v>44</v>
      </c>
      <c r="G5838" t="s">
        <v>21</v>
      </c>
      <c r="H5838" t="s">
        <v>15</v>
      </c>
      <c r="I5838" t="s">
        <v>45</v>
      </c>
      <c r="J5838">
        <v>4.1370245E-2</v>
      </c>
      <c r="L5838">
        <v>46.2376</v>
      </c>
      <c r="M5838">
        <v>1</v>
      </c>
    </row>
    <row r="5839" spans="1:13" x14ac:dyDescent="0.35">
      <c r="A5839" t="s">
        <v>10</v>
      </c>
      <c r="B5839">
        <v>5838</v>
      </c>
      <c r="C5839" t="s">
        <v>1157</v>
      </c>
      <c r="D5839" t="s">
        <v>12</v>
      </c>
      <c r="E5839">
        <v>2018</v>
      </c>
      <c r="F5839" t="s">
        <v>44</v>
      </c>
      <c r="G5839" t="s">
        <v>21</v>
      </c>
      <c r="H5839" t="s">
        <v>15</v>
      </c>
      <c r="I5839" t="s">
        <v>45</v>
      </c>
      <c r="J5839">
        <v>0</v>
      </c>
      <c r="L5839">
        <v>120.5072</v>
      </c>
      <c r="M5839">
        <v>1</v>
      </c>
    </row>
    <row r="5840" spans="1:13" x14ac:dyDescent="0.3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v>5873</v>
      </c>
      <c r="C5874" t="s">
        <v>1057</v>
      </c>
      <c r="D5874" t="s">
        <v>32</v>
      </c>
      <c r="E5874">
        <v>2018</v>
      </c>
      <c r="F5874" t="s">
        <v>44</v>
      </c>
      <c r="G5874" t="s">
        <v>21</v>
      </c>
      <c r="H5874" t="s">
        <v>15</v>
      </c>
      <c r="I5874" t="s">
        <v>45</v>
      </c>
      <c r="J5874">
        <v>4.1683481000000001E-2</v>
      </c>
      <c r="L5874">
        <v>31.29</v>
      </c>
      <c r="M5874">
        <v>4</v>
      </c>
    </row>
    <row r="5875" spans="1:13" x14ac:dyDescent="0.3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v>5956</v>
      </c>
      <c r="C5957" t="s">
        <v>1494</v>
      </c>
      <c r="D5957" t="s">
        <v>47</v>
      </c>
      <c r="E5957">
        <v>2018</v>
      </c>
      <c r="F5957" t="s">
        <v>44</v>
      </c>
      <c r="G5957" t="s">
        <v>21</v>
      </c>
      <c r="H5957" t="s">
        <v>15</v>
      </c>
      <c r="I5957" t="s">
        <v>45</v>
      </c>
      <c r="J5957">
        <v>0</v>
      </c>
      <c r="L5957">
        <v>52.666600000000003</v>
      </c>
      <c r="M5957">
        <v>4</v>
      </c>
    </row>
    <row r="5958" spans="1:13" x14ac:dyDescent="0.3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v>5971</v>
      </c>
      <c r="C5972" t="s">
        <v>1484</v>
      </c>
      <c r="D5972" t="s">
        <v>47</v>
      </c>
      <c r="E5972">
        <v>2018</v>
      </c>
      <c r="F5972" t="s">
        <v>137</v>
      </c>
      <c r="G5972" t="s">
        <v>14</v>
      </c>
      <c r="H5972" t="s">
        <v>26</v>
      </c>
      <c r="I5972" t="s">
        <v>39</v>
      </c>
      <c r="J5972">
        <v>0.141975462</v>
      </c>
      <c r="L5972">
        <v>49.6008</v>
      </c>
      <c r="M5972">
        <v>4</v>
      </c>
    </row>
    <row r="5973" spans="1:13" x14ac:dyDescent="0.3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v>5981</v>
      </c>
      <c r="C5982" t="s">
        <v>1592</v>
      </c>
      <c r="D5982" t="s">
        <v>12</v>
      </c>
      <c r="E5982">
        <v>2018</v>
      </c>
      <c r="F5982" t="s">
        <v>44</v>
      </c>
      <c r="G5982" t="s">
        <v>21</v>
      </c>
      <c r="H5982" t="s">
        <v>15</v>
      </c>
      <c r="I5982" t="s">
        <v>45</v>
      </c>
      <c r="J5982">
        <v>0</v>
      </c>
      <c r="L5982">
        <v>184.72659999999999</v>
      </c>
      <c r="M5982">
        <v>4</v>
      </c>
    </row>
    <row r="5983" spans="1:13" x14ac:dyDescent="0.3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1416</v>
      </c>
      <c r="D5986" t="s">
        <v>12</v>
      </c>
      <c r="E5986">
        <v>2018</v>
      </c>
      <c r="F5986" t="s">
        <v>44</v>
      </c>
      <c r="G5986" t="s">
        <v>21</v>
      </c>
      <c r="H5986" t="s">
        <v>15</v>
      </c>
      <c r="I5986" t="s">
        <v>45</v>
      </c>
      <c r="J5986">
        <v>0.100277876</v>
      </c>
      <c r="L5986">
        <v>196.8768</v>
      </c>
      <c r="M5986">
        <v>4</v>
      </c>
    </row>
    <row r="5987" spans="1:13" x14ac:dyDescent="0.35">
      <c r="A5987" t="s">
        <v>17</v>
      </c>
      <c r="B5987">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1269</v>
      </c>
      <c r="D6033" t="s">
        <v>24</v>
      </c>
      <c r="E6033">
        <v>2018</v>
      </c>
      <c r="F6033" t="s">
        <v>137</v>
      </c>
      <c r="G6033" t="s">
        <v>14</v>
      </c>
      <c r="H6033" t="s">
        <v>26</v>
      </c>
      <c r="I6033" t="s">
        <v>39</v>
      </c>
      <c r="J6033">
        <v>0</v>
      </c>
      <c r="L6033">
        <v>145.21019999999999</v>
      </c>
      <c r="M6033">
        <v>4</v>
      </c>
    </row>
    <row r="6034" spans="1:13" x14ac:dyDescent="0.3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1230</v>
      </c>
      <c r="D6127" t="s">
        <v>94</v>
      </c>
      <c r="E6127">
        <v>2018</v>
      </c>
      <c r="F6127" t="s">
        <v>137</v>
      </c>
      <c r="G6127" t="s">
        <v>14</v>
      </c>
      <c r="H6127" t="s">
        <v>26</v>
      </c>
      <c r="I6127" t="s">
        <v>39</v>
      </c>
      <c r="J6127">
        <v>0</v>
      </c>
      <c r="L6127">
        <v>144.84700000000001</v>
      </c>
      <c r="M6127">
        <v>4</v>
      </c>
    </row>
    <row r="6128" spans="1:13" x14ac:dyDescent="0.3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536</v>
      </c>
      <c r="D6134" t="s">
        <v>28</v>
      </c>
      <c r="E6134">
        <v>2018</v>
      </c>
      <c r="F6134" t="s">
        <v>137</v>
      </c>
      <c r="G6134" t="s">
        <v>14</v>
      </c>
      <c r="H6134" t="s">
        <v>26</v>
      </c>
      <c r="I6134" t="s">
        <v>39</v>
      </c>
      <c r="J6134">
        <v>0.14453827</v>
      </c>
      <c r="L6134">
        <v>180.6002</v>
      </c>
      <c r="M6134">
        <v>4</v>
      </c>
    </row>
    <row r="6135" spans="1:13" x14ac:dyDescent="0.3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163</v>
      </c>
      <c r="D6179" t="s">
        <v>28</v>
      </c>
      <c r="E6179">
        <v>2012</v>
      </c>
      <c r="F6179" t="s">
        <v>13</v>
      </c>
      <c r="G6179" t="s">
        <v>14</v>
      </c>
      <c r="H6179" t="s">
        <v>15</v>
      </c>
      <c r="I6179" t="s">
        <v>16</v>
      </c>
      <c r="J6179">
        <v>0</v>
      </c>
      <c r="K6179">
        <v>7</v>
      </c>
      <c r="L6179">
        <v>105.628</v>
      </c>
      <c r="M6179">
        <v>4</v>
      </c>
    </row>
    <row r="6180" spans="1:13" x14ac:dyDescent="0.3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v>6425</v>
      </c>
      <c r="C6426" t="s">
        <v>667</v>
      </c>
      <c r="D6426" t="s">
        <v>12</v>
      </c>
      <c r="E6426">
        <v>2018</v>
      </c>
      <c r="F6426" t="s">
        <v>137</v>
      </c>
      <c r="G6426" t="s">
        <v>14</v>
      </c>
      <c r="H6426" t="s">
        <v>26</v>
      </c>
      <c r="I6426" t="s">
        <v>39</v>
      </c>
      <c r="J6426">
        <v>0</v>
      </c>
      <c r="L6426">
        <v>258.39879999999999</v>
      </c>
      <c r="M6426">
        <v>4</v>
      </c>
    </row>
    <row r="6427" spans="1:13" x14ac:dyDescent="0.3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v>6429</v>
      </c>
      <c r="C6430" t="s">
        <v>1241</v>
      </c>
      <c r="D6430" t="s">
        <v>32</v>
      </c>
      <c r="E6430">
        <v>2018</v>
      </c>
      <c r="F6430" t="s">
        <v>137</v>
      </c>
      <c r="G6430" t="s">
        <v>14</v>
      </c>
      <c r="H6430" t="s">
        <v>26</v>
      </c>
      <c r="I6430" t="s">
        <v>39</v>
      </c>
      <c r="J6430">
        <v>0</v>
      </c>
      <c r="L6430">
        <v>40.513800000000003</v>
      </c>
      <c r="M6430">
        <v>4</v>
      </c>
    </row>
    <row r="6431" spans="1:13" x14ac:dyDescent="0.3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v>6459</v>
      </c>
      <c r="C6460" t="s">
        <v>1277</v>
      </c>
      <c r="D6460" t="s">
        <v>24</v>
      </c>
      <c r="E6460">
        <v>2018</v>
      </c>
      <c r="F6460" t="s">
        <v>137</v>
      </c>
      <c r="G6460" t="s">
        <v>14</v>
      </c>
      <c r="H6460" t="s">
        <v>26</v>
      </c>
      <c r="I6460" t="s">
        <v>39</v>
      </c>
      <c r="J6460">
        <v>2.4546148E-2</v>
      </c>
      <c r="L6460">
        <v>34.619</v>
      </c>
      <c r="M6460">
        <v>4</v>
      </c>
    </row>
    <row r="6461" spans="1:13" x14ac:dyDescent="0.3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v>6467</v>
      </c>
      <c r="C6468" t="s">
        <v>58</v>
      </c>
      <c r="D6468" t="s">
        <v>12</v>
      </c>
      <c r="E6468">
        <v>2018</v>
      </c>
      <c r="F6468" t="s">
        <v>137</v>
      </c>
      <c r="G6468" t="s">
        <v>14</v>
      </c>
      <c r="H6468" t="s">
        <v>26</v>
      </c>
      <c r="I6468" t="s">
        <v>39</v>
      </c>
      <c r="J6468">
        <v>0.32111500999999998</v>
      </c>
      <c r="L6468">
        <v>100.77</v>
      </c>
      <c r="M6468">
        <v>4</v>
      </c>
    </row>
    <row r="6469" spans="1:13" x14ac:dyDescent="0.3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v>6476</v>
      </c>
      <c r="C6477" t="s">
        <v>848</v>
      </c>
      <c r="D6477" t="s">
        <v>41</v>
      </c>
      <c r="E6477">
        <v>2018</v>
      </c>
      <c r="F6477" t="s">
        <v>137</v>
      </c>
      <c r="G6477" t="s">
        <v>14</v>
      </c>
      <c r="H6477" t="s">
        <v>26</v>
      </c>
      <c r="I6477" t="s">
        <v>39</v>
      </c>
      <c r="J6477">
        <v>2.8048877E-2</v>
      </c>
      <c r="L6477">
        <v>106.1964</v>
      </c>
      <c r="M6477">
        <v>4</v>
      </c>
    </row>
    <row r="6478" spans="1:13" x14ac:dyDescent="0.3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v>6483</v>
      </c>
      <c r="C6484" t="s">
        <v>217</v>
      </c>
      <c r="D6484" t="s">
        <v>41</v>
      </c>
      <c r="E6484">
        <v>2018</v>
      </c>
      <c r="F6484" t="s">
        <v>137</v>
      </c>
      <c r="G6484" t="s">
        <v>14</v>
      </c>
      <c r="H6484" t="s">
        <v>26</v>
      </c>
      <c r="I6484" t="s">
        <v>39</v>
      </c>
      <c r="J6484">
        <v>2.5039776E-2</v>
      </c>
      <c r="L6484">
        <v>102.7332</v>
      </c>
      <c r="M6484">
        <v>4</v>
      </c>
    </row>
    <row r="6485" spans="1:13" x14ac:dyDescent="0.3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v>6485</v>
      </c>
      <c r="C6486" t="s">
        <v>1226</v>
      </c>
      <c r="D6486" t="s">
        <v>41</v>
      </c>
      <c r="E6486">
        <v>2018</v>
      </c>
      <c r="F6486" t="s">
        <v>137</v>
      </c>
      <c r="G6486" t="s">
        <v>14</v>
      </c>
      <c r="H6486" t="s">
        <v>26</v>
      </c>
      <c r="I6486" t="s">
        <v>39</v>
      </c>
      <c r="J6486">
        <v>0.124299531</v>
      </c>
      <c r="L6486">
        <v>73.4696</v>
      </c>
      <c r="M6486">
        <v>4</v>
      </c>
    </row>
    <row r="6487" spans="1:13" x14ac:dyDescent="0.3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v>6492</v>
      </c>
      <c r="C6493" t="s">
        <v>52</v>
      </c>
      <c r="D6493" t="s">
        <v>53</v>
      </c>
      <c r="E6493">
        <v>2018</v>
      </c>
      <c r="F6493" t="s">
        <v>137</v>
      </c>
      <c r="G6493" t="s">
        <v>14</v>
      </c>
      <c r="H6493" t="s">
        <v>26</v>
      </c>
      <c r="I6493" t="s">
        <v>39</v>
      </c>
      <c r="J6493">
        <v>5.7933643E-2</v>
      </c>
      <c r="L6493">
        <v>175.1738</v>
      </c>
      <c r="M6493">
        <v>4</v>
      </c>
    </row>
    <row r="6494" spans="1:13" x14ac:dyDescent="0.35">
      <c r="A6494" t="s">
        <v>17</v>
      </c>
      <c r="B6494">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v>6494</v>
      </c>
      <c r="C6495" t="s">
        <v>1368</v>
      </c>
      <c r="D6495" t="s">
        <v>53</v>
      </c>
      <c r="E6495">
        <v>2018</v>
      </c>
      <c r="F6495" t="s">
        <v>137</v>
      </c>
      <c r="G6495" t="s">
        <v>14</v>
      </c>
      <c r="H6495" t="s">
        <v>26</v>
      </c>
      <c r="I6495" t="s">
        <v>39</v>
      </c>
      <c r="J6495">
        <v>0</v>
      </c>
      <c r="L6495">
        <v>196.8426</v>
      </c>
      <c r="M6495">
        <v>4</v>
      </c>
    </row>
    <row r="6496" spans="1:13" x14ac:dyDescent="0.3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v>6496</v>
      </c>
      <c r="C6497" t="s">
        <v>244</v>
      </c>
      <c r="D6497" t="s">
        <v>63</v>
      </c>
      <c r="E6497">
        <v>2018</v>
      </c>
      <c r="F6497" t="s">
        <v>137</v>
      </c>
      <c r="G6497" t="s">
        <v>14</v>
      </c>
      <c r="H6497" t="s">
        <v>26</v>
      </c>
      <c r="I6497" t="s">
        <v>39</v>
      </c>
      <c r="J6497">
        <v>0.194874778</v>
      </c>
      <c r="L6497">
        <v>110.2912</v>
      </c>
      <c r="M6497">
        <v>4</v>
      </c>
    </row>
    <row r="6498" spans="1:13" x14ac:dyDescent="0.3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v>6501</v>
      </c>
      <c r="C6502" t="s">
        <v>1353</v>
      </c>
      <c r="D6502" t="s">
        <v>47</v>
      </c>
      <c r="E6502">
        <v>2018</v>
      </c>
      <c r="F6502" t="s">
        <v>137</v>
      </c>
      <c r="G6502" t="s">
        <v>14</v>
      </c>
      <c r="H6502" t="s">
        <v>26</v>
      </c>
      <c r="I6502" t="s">
        <v>39</v>
      </c>
      <c r="J6502">
        <v>9.4957079E-2</v>
      </c>
      <c r="L6502">
        <v>143.5154</v>
      </c>
      <c r="M6502">
        <v>4</v>
      </c>
    </row>
    <row r="6503" spans="1:13" x14ac:dyDescent="0.3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v>6506</v>
      </c>
      <c r="C6507" t="s">
        <v>388</v>
      </c>
      <c r="D6507" t="s">
        <v>47</v>
      </c>
      <c r="E6507">
        <v>2018</v>
      </c>
      <c r="F6507" t="s">
        <v>137</v>
      </c>
      <c r="G6507" t="s">
        <v>14</v>
      </c>
      <c r="H6507" t="s">
        <v>26</v>
      </c>
      <c r="I6507" t="s">
        <v>39</v>
      </c>
      <c r="J6507">
        <v>0.117091213</v>
      </c>
      <c r="L6507">
        <v>197.9084</v>
      </c>
      <c r="M6507">
        <v>4</v>
      </c>
    </row>
    <row r="6508" spans="1:13" x14ac:dyDescent="0.3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v>6514</v>
      </c>
      <c r="C6515" t="s">
        <v>430</v>
      </c>
      <c r="D6515" t="s">
        <v>94</v>
      </c>
      <c r="E6515">
        <v>2018</v>
      </c>
      <c r="F6515" t="s">
        <v>137</v>
      </c>
      <c r="G6515" t="s">
        <v>14</v>
      </c>
      <c r="H6515" t="s">
        <v>26</v>
      </c>
      <c r="I6515" t="s">
        <v>39</v>
      </c>
      <c r="J6515">
        <v>0</v>
      </c>
      <c r="L6515">
        <v>38.184800000000003</v>
      </c>
      <c r="M6515">
        <v>4</v>
      </c>
    </row>
    <row r="6516" spans="1:13" x14ac:dyDescent="0.35">
      <c r="A6516" t="s">
        <v>10</v>
      </c>
      <c r="B6516">
        <v>6515</v>
      </c>
      <c r="C6516" t="s">
        <v>1602</v>
      </c>
      <c r="D6516" t="s">
        <v>94</v>
      </c>
      <c r="E6516">
        <v>2018</v>
      </c>
      <c r="F6516" t="s">
        <v>137</v>
      </c>
      <c r="G6516" t="s">
        <v>14</v>
      </c>
      <c r="H6516" t="s">
        <v>26</v>
      </c>
      <c r="I6516" t="s">
        <v>39</v>
      </c>
      <c r="J6516">
        <v>0.191500528</v>
      </c>
      <c r="L6516">
        <v>121.2098</v>
      </c>
      <c r="M6516">
        <v>4</v>
      </c>
    </row>
    <row r="6517" spans="1:13" x14ac:dyDescent="0.3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v>6517</v>
      </c>
      <c r="C6518" t="s">
        <v>903</v>
      </c>
      <c r="D6518" t="s">
        <v>94</v>
      </c>
      <c r="E6518">
        <v>2018</v>
      </c>
      <c r="F6518" t="s">
        <v>137</v>
      </c>
      <c r="G6518" t="s">
        <v>14</v>
      </c>
      <c r="H6518" t="s">
        <v>26</v>
      </c>
      <c r="I6518" t="s">
        <v>39</v>
      </c>
      <c r="J6518">
        <v>0.18212836299999999</v>
      </c>
      <c r="L6518">
        <v>165.65</v>
      </c>
      <c r="M6518">
        <v>4</v>
      </c>
    </row>
    <row r="6519" spans="1:13" x14ac:dyDescent="0.3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v>6523</v>
      </c>
      <c r="C6524" t="s">
        <v>422</v>
      </c>
      <c r="D6524" t="s">
        <v>28</v>
      </c>
      <c r="E6524">
        <v>2018</v>
      </c>
      <c r="F6524" t="s">
        <v>137</v>
      </c>
      <c r="G6524" t="s">
        <v>14</v>
      </c>
      <c r="H6524" t="s">
        <v>26</v>
      </c>
      <c r="I6524" t="s">
        <v>39</v>
      </c>
      <c r="J6524">
        <v>0</v>
      </c>
      <c r="L6524">
        <v>92.311999999999998</v>
      </c>
      <c r="M6524">
        <v>4</v>
      </c>
    </row>
    <row r="6525" spans="1:13" x14ac:dyDescent="0.3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v>6525</v>
      </c>
      <c r="C6526" t="s">
        <v>676</v>
      </c>
      <c r="D6526" t="s">
        <v>28</v>
      </c>
      <c r="E6526">
        <v>2018</v>
      </c>
      <c r="F6526" t="s">
        <v>137</v>
      </c>
      <c r="G6526" t="s">
        <v>14</v>
      </c>
      <c r="H6526" t="s">
        <v>26</v>
      </c>
      <c r="I6526" t="s">
        <v>39</v>
      </c>
      <c r="J6526">
        <v>0</v>
      </c>
      <c r="L6526">
        <v>78.896000000000001</v>
      </c>
      <c r="M6526">
        <v>4</v>
      </c>
    </row>
    <row r="6527" spans="1:13" x14ac:dyDescent="0.3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v>6534</v>
      </c>
      <c r="C6535" t="s">
        <v>1492</v>
      </c>
      <c r="D6535" t="s">
        <v>24</v>
      </c>
      <c r="E6535">
        <v>2018</v>
      </c>
      <c r="F6535" t="s">
        <v>137</v>
      </c>
      <c r="G6535" t="s">
        <v>14</v>
      </c>
      <c r="H6535" t="s">
        <v>26</v>
      </c>
      <c r="I6535" t="s">
        <v>39</v>
      </c>
      <c r="J6535">
        <v>0</v>
      </c>
      <c r="L6535">
        <v>230.0668</v>
      </c>
      <c r="M6535">
        <v>4</v>
      </c>
    </row>
    <row r="6536" spans="1:13" x14ac:dyDescent="0.3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v>6541</v>
      </c>
      <c r="C6542" t="s">
        <v>1519</v>
      </c>
      <c r="D6542" t="s">
        <v>12</v>
      </c>
      <c r="E6542">
        <v>2018</v>
      </c>
      <c r="F6542" t="s">
        <v>137</v>
      </c>
      <c r="G6542" t="s">
        <v>14</v>
      </c>
      <c r="H6542" t="s">
        <v>26</v>
      </c>
      <c r="I6542" t="s">
        <v>39</v>
      </c>
      <c r="J6542">
        <v>0.214423791</v>
      </c>
      <c r="L6542">
        <v>111.6544</v>
      </c>
      <c r="M6542">
        <v>4</v>
      </c>
    </row>
    <row r="6543" spans="1:13" x14ac:dyDescent="0.3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v>6548</v>
      </c>
      <c r="C6549" t="s">
        <v>399</v>
      </c>
      <c r="D6549" t="s">
        <v>12</v>
      </c>
      <c r="E6549">
        <v>2018</v>
      </c>
      <c r="F6549" t="s">
        <v>137</v>
      </c>
      <c r="G6549" t="s">
        <v>14</v>
      </c>
      <c r="H6549" t="s">
        <v>26</v>
      </c>
      <c r="I6549" t="s">
        <v>39</v>
      </c>
      <c r="J6549">
        <v>0</v>
      </c>
      <c r="L6549">
        <v>234.79580000000001</v>
      </c>
      <c r="M6549">
        <v>4</v>
      </c>
    </row>
    <row r="6550" spans="1:13" x14ac:dyDescent="0.3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v>6551</v>
      </c>
      <c r="C6552" t="s">
        <v>1012</v>
      </c>
      <c r="D6552" t="s">
        <v>53</v>
      </c>
      <c r="E6552">
        <v>2018</v>
      </c>
      <c r="F6552" t="s">
        <v>137</v>
      </c>
      <c r="G6552" t="s">
        <v>14</v>
      </c>
      <c r="H6552" t="s">
        <v>26</v>
      </c>
      <c r="I6552" t="s">
        <v>39</v>
      </c>
      <c r="J6552">
        <v>0.277459381</v>
      </c>
      <c r="L6552">
        <v>156.3946</v>
      </c>
      <c r="M6552">
        <v>4</v>
      </c>
    </row>
    <row r="6553" spans="1:13" x14ac:dyDescent="0.3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v>6556</v>
      </c>
      <c r="C6557" t="s">
        <v>1334</v>
      </c>
      <c r="D6557" t="s">
        <v>53</v>
      </c>
      <c r="E6557">
        <v>2018</v>
      </c>
      <c r="F6557" t="s">
        <v>137</v>
      </c>
      <c r="G6557" t="s">
        <v>14</v>
      </c>
      <c r="H6557" t="s">
        <v>26</v>
      </c>
      <c r="I6557" t="s">
        <v>39</v>
      </c>
      <c r="J6557">
        <v>1.9117392E-2</v>
      </c>
      <c r="L6557">
        <v>110.6544</v>
      </c>
      <c r="M6557">
        <v>4</v>
      </c>
    </row>
    <row r="6558" spans="1:13" x14ac:dyDescent="0.3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v>6558</v>
      </c>
      <c r="C6559" t="s">
        <v>192</v>
      </c>
      <c r="D6559" t="s">
        <v>152</v>
      </c>
      <c r="E6559">
        <v>2018</v>
      </c>
      <c r="F6559" t="s">
        <v>137</v>
      </c>
      <c r="G6559" t="s">
        <v>14</v>
      </c>
      <c r="H6559" t="s">
        <v>26</v>
      </c>
      <c r="I6559" t="s">
        <v>39</v>
      </c>
      <c r="J6559">
        <v>0.256152243</v>
      </c>
      <c r="L6559">
        <v>151.005</v>
      </c>
      <c r="M6559">
        <v>4</v>
      </c>
    </row>
    <row r="6560" spans="1:13" x14ac:dyDescent="0.3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v>6560</v>
      </c>
      <c r="C6561" t="s">
        <v>191</v>
      </c>
      <c r="D6561" t="s">
        <v>152</v>
      </c>
      <c r="E6561">
        <v>2018</v>
      </c>
      <c r="F6561" t="s">
        <v>137</v>
      </c>
      <c r="G6561" t="s">
        <v>14</v>
      </c>
      <c r="H6561" t="s">
        <v>26</v>
      </c>
      <c r="I6561" t="s">
        <v>39</v>
      </c>
      <c r="J6561">
        <v>0</v>
      </c>
      <c r="L6561">
        <v>184.35820000000001</v>
      </c>
      <c r="M6561">
        <v>4</v>
      </c>
    </row>
    <row r="6562" spans="1:13" x14ac:dyDescent="0.3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v>6568</v>
      </c>
      <c r="C6569" t="s">
        <v>959</v>
      </c>
      <c r="D6569" t="s">
        <v>32</v>
      </c>
      <c r="E6569">
        <v>2018</v>
      </c>
      <c r="F6569" t="s">
        <v>137</v>
      </c>
      <c r="G6569" t="s">
        <v>14</v>
      </c>
      <c r="H6569" t="s">
        <v>26</v>
      </c>
      <c r="I6569" t="s">
        <v>39</v>
      </c>
      <c r="J6569">
        <v>0.13511877</v>
      </c>
      <c r="L6569">
        <v>232.9958</v>
      </c>
      <c r="M6569">
        <v>4</v>
      </c>
    </row>
    <row r="6570" spans="1:13" x14ac:dyDescent="0.3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703</v>
      </c>
      <c r="D6596" t="s">
        <v>56</v>
      </c>
      <c r="E6596">
        <v>2016</v>
      </c>
      <c r="F6596" t="s">
        <v>25</v>
      </c>
      <c r="G6596" t="s">
        <v>14</v>
      </c>
      <c r="H6596" t="s">
        <v>26</v>
      </c>
      <c r="I6596" t="s">
        <v>16</v>
      </c>
      <c r="J6596">
        <v>0</v>
      </c>
      <c r="K6596">
        <v>6.44</v>
      </c>
      <c r="L6596">
        <v>98.27</v>
      </c>
      <c r="M6596">
        <v>4</v>
      </c>
    </row>
    <row r="6597" spans="1:13" x14ac:dyDescent="0.3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867</v>
      </c>
      <c r="D7213" t="s">
        <v>12</v>
      </c>
      <c r="E7213">
        <v>2015</v>
      </c>
      <c r="F7213" t="s">
        <v>33</v>
      </c>
      <c r="G7213" t="s">
        <v>34</v>
      </c>
      <c r="H7213" t="s">
        <v>30</v>
      </c>
      <c r="I7213" t="s">
        <v>16</v>
      </c>
      <c r="J7213">
        <v>0</v>
      </c>
      <c r="K7213">
        <v>10.3</v>
      </c>
      <c r="L7213">
        <v>189.053</v>
      </c>
      <c r="M7213">
        <v>4</v>
      </c>
    </row>
    <row r="7214" spans="1:13" x14ac:dyDescent="0.3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v>7263</v>
      </c>
      <c r="C7264" t="s">
        <v>120</v>
      </c>
      <c r="D7264" t="s">
        <v>94</v>
      </c>
      <c r="E7264">
        <v>2020</v>
      </c>
      <c r="F7264" t="s">
        <v>36</v>
      </c>
      <c r="G7264" t="s">
        <v>34</v>
      </c>
      <c r="H7264" t="s">
        <v>30</v>
      </c>
      <c r="I7264" t="s">
        <v>16</v>
      </c>
      <c r="J7264">
        <v>0</v>
      </c>
      <c r="K7264">
        <v>20.7</v>
      </c>
      <c r="L7264">
        <v>98.7042</v>
      </c>
      <c r="M7264">
        <v>4</v>
      </c>
    </row>
    <row r="7265" spans="1:13" x14ac:dyDescent="0.3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874</v>
      </c>
      <c r="D7767" t="s">
        <v>28</v>
      </c>
      <c r="E7767">
        <v>2014</v>
      </c>
      <c r="F7767" t="s">
        <v>29</v>
      </c>
      <c r="G7767" t="s">
        <v>21</v>
      </c>
      <c r="H7767" t="s">
        <v>30</v>
      </c>
      <c r="I7767" t="s">
        <v>16</v>
      </c>
      <c r="J7767">
        <v>0</v>
      </c>
      <c r="K7767">
        <v>16.2</v>
      </c>
      <c r="L7767">
        <v>100.57</v>
      </c>
      <c r="M7767">
        <v>4</v>
      </c>
    </row>
    <row r="7768" spans="1:13" x14ac:dyDescent="0.3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91</v>
      </c>
      <c r="D7793" t="s">
        <v>24</v>
      </c>
      <c r="E7793">
        <v>2014</v>
      </c>
      <c r="F7793" t="s">
        <v>29</v>
      </c>
      <c r="G7793" t="s">
        <v>21</v>
      </c>
      <c r="H7793" t="s">
        <v>30</v>
      </c>
      <c r="I7793" t="s">
        <v>16</v>
      </c>
      <c r="J7793">
        <v>0</v>
      </c>
      <c r="K7793">
        <v>17.5</v>
      </c>
      <c r="L7793">
        <v>258.3304</v>
      </c>
      <c r="M7793">
        <v>4</v>
      </c>
    </row>
    <row r="7794" spans="1:13" x14ac:dyDescent="0.3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531</v>
      </c>
      <c r="D8059" t="s">
        <v>19</v>
      </c>
      <c r="E8059">
        <v>2022</v>
      </c>
      <c r="F8059" t="s">
        <v>20</v>
      </c>
      <c r="G8059" t="s">
        <v>21</v>
      </c>
      <c r="H8059" t="s">
        <v>15</v>
      </c>
      <c r="I8059" t="s">
        <v>22</v>
      </c>
      <c r="J8059">
        <v>0</v>
      </c>
      <c r="K8059">
        <v>5.51</v>
      </c>
      <c r="L8059">
        <v>98.9726</v>
      </c>
      <c r="M8059">
        <v>4</v>
      </c>
    </row>
    <row r="8060" spans="1:13" x14ac:dyDescent="0.3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v>8248</v>
      </c>
      <c r="C8249" t="s">
        <v>661</v>
      </c>
      <c r="D8249" t="s">
        <v>56</v>
      </c>
      <c r="E8249">
        <v>2018</v>
      </c>
      <c r="F8249" t="s">
        <v>44</v>
      </c>
      <c r="G8249" t="s">
        <v>21</v>
      </c>
      <c r="H8249" t="s">
        <v>15</v>
      </c>
      <c r="I8249" t="s">
        <v>45</v>
      </c>
      <c r="J8249">
        <v>0</v>
      </c>
      <c r="L8249">
        <v>87.685599999999994</v>
      </c>
      <c r="M8249">
        <v>4</v>
      </c>
    </row>
    <row r="8250" spans="1:13" x14ac:dyDescent="0.35">
      <c r="A8250" t="s">
        <v>17</v>
      </c>
      <c r="B8250">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v>8250</v>
      </c>
      <c r="C8251" t="s">
        <v>717</v>
      </c>
      <c r="D8251" t="s">
        <v>19</v>
      </c>
      <c r="E8251">
        <v>2018</v>
      </c>
      <c r="F8251" t="s">
        <v>44</v>
      </c>
      <c r="G8251" t="s">
        <v>21</v>
      </c>
      <c r="H8251" t="s">
        <v>15</v>
      </c>
      <c r="I8251" t="s">
        <v>45</v>
      </c>
      <c r="J8251">
        <v>0</v>
      </c>
      <c r="L8251">
        <v>64.216800000000006</v>
      </c>
      <c r="M8251">
        <v>4</v>
      </c>
    </row>
    <row r="8252" spans="1:13" x14ac:dyDescent="0.3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v>8252</v>
      </c>
      <c r="C8253" t="s">
        <v>1133</v>
      </c>
      <c r="D8253" t="s">
        <v>41</v>
      </c>
      <c r="E8253">
        <v>2018</v>
      </c>
      <c r="F8253" t="s">
        <v>44</v>
      </c>
      <c r="G8253" t="s">
        <v>21</v>
      </c>
      <c r="H8253" t="s">
        <v>15</v>
      </c>
      <c r="I8253" t="s">
        <v>45</v>
      </c>
      <c r="J8253">
        <v>0.102941345</v>
      </c>
      <c r="L8253">
        <v>171.2448</v>
      </c>
      <c r="M8253">
        <v>4</v>
      </c>
    </row>
    <row r="8254" spans="1:13" x14ac:dyDescent="0.35">
      <c r="A8254" t="s">
        <v>17</v>
      </c>
      <c r="B8254">
        <v>8253</v>
      </c>
      <c r="C8254" t="s">
        <v>74</v>
      </c>
      <c r="D8254" t="s">
        <v>41</v>
      </c>
      <c r="E8254">
        <v>2018</v>
      </c>
      <c r="F8254" t="s">
        <v>44</v>
      </c>
      <c r="G8254" t="s">
        <v>21</v>
      </c>
      <c r="H8254" t="s">
        <v>15</v>
      </c>
      <c r="I8254" t="s">
        <v>45</v>
      </c>
      <c r="J8254">
        <v>8.0249973000000002E-2</v>
      </c>
      <c r="L8254">
        <v>168.679</v>
      </c>
      <c r="M8254">
        <v>4</v>
      </c>
    </row>
    <row r="8255" spans="1:13" x14ac:dyDescent="0.3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v>8267</v>
      </c>
      <c r="C8268" t="s">
        <v>985</v>
      </c>
      <c r="D8268" t="s">
        <v>94</v>
      </c>
      <c r="E8268">
        <v>2018</v>
      </c>
      <c r="F8268" t="s">
        <v>44</v>
      </c>
      <c r="G8268" t="s">
        <v>21</v>
      </c>
      <c r="H8268" t="s">
        <v>15</v>
      </c>
      <c r="I8268" t="s">
        <v>45</v>
      </c>
      <c r="J8268">
        <v>0</v>
      </c>
      <c r="L8268">
        <v>100.1384</v>
      </c>
      <c r="M8268">
        <v>4</v>
      </c>
    </row>
    <row r="8269" spans="1:13" x14ac:dyDescent="0.35">
      <c r="A8269" t="s">
        <v>17</v>
      </c>
      <c r="B826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v>8282</v>
      </c>
      <c r="C8283" t="s">
        <v>96</v>
      </c>
      <c r="D8283" t="s">
        <v>28</v>
      </c>
      <c r="E8283">
        <v>2018</v>
      </c>
      <c r="F8283" t="s">
        <v>44</v>
      </c>
      <c r="G8283" t="s">
        <v>21</v>
      </c>
      <c r="H8283" t="s">
        <v>15</v>
      </c>
      <c r="I8283" t="s">
        <v>45</v>
      </c>
      <c r="J8283">
        <v>2.4047319000000001E-2</v>
      </c>
      <c r="L8283">
        <v>115.515</v>
      </c>
      <c r="M8283">
        <v>4</v>
      </c>
    </row>
    <row r="8284" spans="1:13" x14ac:dyDescent="0.35">
      <c r="A8284" t="s">
        <v>17</v>
      </c>
      <c r="B8284">
        <v>8283</v>
      </c>
      <c r="C8284" t="s">
        <v>874</v>
      </c>
      <c r="D8284" t="s">
        <v>28</v>
      </c>
      <c r="E8284">
        <v>2018</v>
      </c>
      <c r="F8284" t="s">
        <v>44</v>
      </c>
      <c r="G8284" t="s">
        <v>21</v>
      </c>
      <c r="H8284" t="s">
        <v>15</v>
      </c>
      <c r="I8284" t="s">
        <v>45</v>
      </c>
      <c r="J8284">
        <v>6.2724116999999996E-2</v>
      </c>
      <c r="L8284">
        <v>100.57</v>
      </c>
      <c r="M8284">
        <v>4</v>
      </c>
    </row>
    <row r="8285" spans="1:13" x14ac:dyDescent="0.3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v>8288</v>
      </c>
      <c r="C8289" t="s">
        <v>1516</v>
      </c>
      <c r="D8289" t="s">
        <v>66</v>
      </c>
      <c r="E8289">
        <v>2018</v>
      </c>
      <c r="F8289" t="s">
        <v>44</v>
      </c>
      <c r="G8289" t="s">
        <v>21</v>
      </c>
      <c r="H8289" t="s">
        <v>15</v>
      </c>
      <c r="I8289" t="s">
        <v>45</v>
      </c>
      <c r="J8289">
        <v>5.3211728E-2</v>
      </c>
      <c r="L8289">
        <v>177.6002</v>
      </c>
      <c r="M8289">
        <v>4</v>
      </c>
    </row>
    <row r="8290" spans="1:13" x14ac:dyDescent="0.35">
      <c r="A8290" t="s">
        <v>17</v>
      </c>
      <c r="B8290">
        <v>8289</v>
      </c>
      <c r="C8290" t="s">
        <v>534</v>
      </c>
      <c r="D8290" t="s">
        <v>66</v>
      </c>
      <c r="E8290">
        <v>2018</v>
      </c>
      <c r="F8290" t="s">
        <v>44</v>
      </c>
      <c r="G8290" t="s">
        <v>21</v>
      </c>
      <c r="H8290" t="s">
        <v>15</v>
      </c>
      <c r="I8290" t="s">
        <v>45</v>
      </c>
      <c r="J8290">
        <v>0.101281</v>
      </c>
      <c r="L8290">
        <v>55.095599999999997</v>
      </c>
      <c r="M8290">
        <v>4</v>
      </c>
    </row>
    <row r="8291" spans="1:13" x14ac:dyDescent="0.3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v>8293</v>
      </c>
      <c r="C8294" t="s">
        <v>776</v>
      </c>
      <c r="D8294" t="s">
        <v>66</v>
      </c>
      <c r="E8294">
        <v>2018</v>
      </c>
      <c r="F8294" t="s">
        <v>44</v>
      </c>
      <c r="G8294" t="s">
        <v>21</v>
      </c>
      <c r="H8294" t="s">
        <v>15</v>
      </c>
      <c r="I8294" t="s">
        <v>45</v>
      </c>
      <c r="J8294">
        <v>2.0769677E-2</v>
      </c>
      <c r="L8294">
        <v>117.5782</v>
      </c>
      <c r="M8294">
        <v>4</v>
      </c>
    </row>
    <row r="8295" spans="1:13" x14ac:dyDescent="0.35">
      <c r="A8295" t="s">
        <v>17</v>
      </c>
      <c r="B8295">
        <v>8294</v>
      </c>
      <c r="C8295" t="s">
        <v>1017</v>
      </c>
      <c r="D8295" t="s">
        <v>24</v>
      </c>
      <c r="E8295">
        <v>2018</v>
      </c>
      <c r="F8295" t="s">
        <v>44</v>
      </c>
      <c r="G8295" t="s">
        <v>21</v>
      </c>
      <c r="H8295" t="s">
        <v>15</v>
      </c>
      <c r="I8295" t="s">
        <v>45</v>
      </c>
      <c r="J8295">
        <v>5.4720642E-2</v>
      </c>
      <c r="L8295">
        <v>107.8254</v>
      </c>
      <c r="M8295">
        <v>4</v>
      </c>
    </row>
    <row r="8296" spans="1:13" x14ac:dyDescent="0.3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v>8302</v>
      </c>
      <c r="C8303" t="s">
        <v>228</v>
      </c>
      <c r="D8303" t="s">
        <v>24</v>
      </c>
      <c r="E8303">
        <v>2018</v>
      </c>
      <c r="F8303" t="s">
        <v>44</v>
      </c>
      <c r="G8303" t="s">
        <v>21</v>
      </c>
      <c r="H8303" t="s">
        <v>15</v>
      </c>
      <c r="I8303" t="s">
        <v>45</v>
      </c>
      <c r="J8303">
        <v>0</v>
      </c>
      <c r="L8303">
        <v>190.9162</v>
      </c>
      <c r="M8303">
        <v>4</v>
      </c>
    </row>
    <row r="8304" spans="1:13" x14ac:dyDescent="0.35">
      <c r="A8304" t="s">
        <v>17</v>
      </c>
      <c r="B8304">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v>8310</v>
      </c>
      <c r="C8311" t="s">
        <v>737</v>
      </c>
      <c r="D8311" t="s">
        <v>24</v>
      </c>
      <c r="E8311">
        <v>2018</v>
      </c>
      <c r="F8311" t="s">
        <v>44</v>
      </c>
      <c r="G8311" t="s">
        <v>21</v>
      </c>
      <c r="H8311" t="s">
        <v>15</v>
      </c>
      <c r="I8311" t="s">
        <v>45</v>
      </c>
      <c r="J8311">
        <v>0.118806857</v>
      </c>
      <c r="L8311">
        <v>248.8434</v>
      </c>
      <c r="M8311">
        <v>4</v>
      </c>
    </row>
    <row r="8312" spans="1:13" x14ac:dyDescent="0.3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v>8315</v>
      </c>
      <c r="C8316" t="s">
        <v>1167</v>
      </c>
      <c r="D8316" t="s">
        <v>12</v>
      </c>
      <c r="E8316">
        <v>2018</v>
      </c>
      <c r="F8316" t="s">
        <v>44</v>
      </c>
      <c r="G8316" t="s">
        <v>21</v>
      </c>
      <c r="H8316" t="s">
        <v>15</v>
      </c>
      <c r="I8316" t="s">
        <v>45</v>
      </c>
      <c r="J8316">
        <v>0</v>
      </c>
      <c r="L8316">
        <v>242.9854</v>
      </c>
      <c r="M8316">
        <v>4</v>
      </c>
    </row>
    <row r="8317" spans="1:13" x14ac:dyDescent="0.3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v>8317</v>
      </c>
      <c r="C8318" t="s">
        <v>1168</v>
      </c>
      <c r="D8318" t="s">
        <v>12</v>
      </c>
      <c r="E8318">
        <v>2018</v>
      </c>
      <c r="F8318" t="s">
        <v>44</v>
      </c>
      <c r="G8318" t="s">
        <v>21</v>
      </c>
      <c r="H8318" t="s">
        <v>15</v>
      </c>
      <c r="I8318" t="s">
        <v>45</v>
      </c>
      <c r="J8318">
        <v>2.1392306E-2</v>
      </c>
      <c r="L8318">
        <v>182.0976</v>
      </c>
      <c r="M8318">
        <v>4</v>
      </c>
    </row>
    <row r="8319" spans="1:13" x14ac:dyDescent="0.35">
      <c r="A8319" t="s">
        <v>17</v>
      </c>
      <c r="B8319">
        <v>8318</v>
      </c>
      <c r="C8319" t="s">
        <v>1446</v>
      </c>
      <c r="D8319" t="s">
        <v>12</v>
      </c>
      <c r="E8319">
        <v>2018</v>
      </c>
      <c r="F8319" t="s">
        <v>44</v>
      </c>
      <c r="G8319" t="s">
        <v>21</v>
      </c>
      <c r="H8319" t="s">
        <v>15</v>
      </c>
      <c r="I8319" t="s">
        <v>45</v>
      </c>
      <c r="J8319">
        <v>0</v>
      </c>
      <c r="L8319">
        <v>115.3492</v>
      </c>
      <c r="M8319">
        <v>4</v>
      </c>
    </row>
    <row r="8320" spans="1:13" x14ac:dyDescent="0.35">
      <c r="A8320" t="s">
        <v>17</v>
      </c>
      <c r="B8320">
        <v>8319</v>
      </c>
      <c r="C8320" t="s">
        <v>446</v>
      </c>
      <c r="D8320" t="s">
        <v>12</v>
      </c>
      <c r="E8320">
        <v>2018</v>
      </c>
      <c r="F8320" t="s">
        <v>44</v>
      </c>
      <c r="G8320" t="s">
        <v>21</v>
      </c>
      <c r="H8320" t="s">
        <v>15</v>
      </c>
      <c r="I8320" t="s">
        <v>45</v>
      </c>
      <c r="J8320">
        <v>3.3059299E-2</v>
      </c>
      <c r="L8320">
        <v>196.4768</v>
      </c>
      <c r="M8320">
        <v>4</v>
      </c>
    </row>
    <row r="8321" spans="1:13" x14ac:dyDescent="0.3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v>8321</v>
      </c>
      <c r="C8322" t="s">
        <v>1237</v>
      </c>
      <c r="D8322" t="s">
        <v>12</v>
      </c>
      <c r="E8322">
        <v>2018</v>
      </c>
      <c r="F8322" t="s">
        <v>44</v>
      </c>
      <c r="G8322" t="s">
        <v>21</v>
      </c>
      <c r="H8322" t="s">
        <v>15</v>
      </c>
      <c r="I8322" t="s">
        <v>45</v>
      </c>
      <c r="J8322">
        <v>0.173529036</v>
      </c>
      <c r="L8322">
        <v>113.2834</v>
      </c>
      <c r="M8322">
        <v>4</v>
      </c>
    </row>
    <row r="8323" spans="1:13" x14ac:dyDescent="0.3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v>8338</v>
      </c>
      <c r="C8339" t="s">
        <v>496</v>
      </c>
      <c r="D8339" t="s">
        <v>19</v>
      </c>
      <c r="E8339">
        <v>2018</v>
      </c>
      <c r="F8339" t="s">
        <v>44</v>
      </c>
      <c r="G8339" t="s">
        <v>21</v>
      </c>
      <c r="H8339" t="s">
        <v>15</v>
      </c>
      <c r="I8339" t="s">
        <v>45</v>
      </c>
      <c r="J8339">
        <v>0</v>
      </c>
      <c r="L8339">
        <v>37.3506</v>
      </c>
      <c r="M8339">
        <v>4</v>
      </c>
    </row>
    <row r="8340" spans="1:13" x14ac:dyDescent="0.35">
      <c r="A8340" t="s">
        <v>17</v>
      </c>
      <c r="B8340">
        <v>8339</v>
      </c>
      <c r="C8340" t="s">
        <v>991</v>
      </c>
      <c r="D8340" t="s">
        <v>19</v>
      </c>
      <c r="E8340">
        <v>2018</v>
      </c>
      <c r="F8340" t="s">
        <v>44</v>
      </c>
      <c r="G8340" t="s">
        <v>21</v>
      </c>
      <c r="H8340" t="s">
        <v>15</v>
      </c>
      <c r="I8340" t="s">
        <v>45</v>
      </c>
      <c r="J8340">
        <v>0</v>
      </c>
      <c r="L8340">
        <v>100.80419999999999</v>
      </c>
      <c r="M8340">
        <v>4</v>
      </c>
    </row>
    <row r="8341" spans="1:13" x14ac:dyDescent="0.35">
      <c r="A8341" t="s">
        <v>17</v>
      </c>
      <c r="B834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v>8344</v>
      </c>
      <c r="C8345" t="s">
        <v>237</v>
      </c>
      <c r="D8345" t="s">
        <v>19</v>
      </c>
      <c r="E8345">
        <v>2018</v>
      </c>
      <c r="F8345" t="s">
        <v>44</v>
      </c>
      <c r="G8345" t="s">
        <v>21</v>
      </c>
      <c r="H8345" t="s">
        <v>15</v>
      </c>
      <c r="I8345" t="s">
        <v>45</v>
      </c>
      <c r="J8345">
        <v>0</v>
      </c>
      <c r="L8345">
        <v>152.07079999999999</v>
      </c>
      <c r="M8345">
        <v>4</v>
      </c>
    </row>
    <row r="8346" spans="1:13" x14ac:dyDescent="0.3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v>8346</v>
      </c>
      <c r="C8347" t="s">
        <v>210</v>
      </c>
      <c r="D8347" t="s">
        <v>19</v>
      </c>
      <c r="E8347">
        <v>2018</v>
      </c>
      <c r="F8347" t="s">
        <v>44</v>
      </c>
      <c r="G8347" t="s">
        <v>21</v>
      </c>
      <c r="H8347" t="s">
        <v>15</v>
      </c>
      <c r="I8347" t="s">
        <v>45</v>
      </c>
      <c r="J8347">
        <v>2.426524E-2</v>
      </c>
      <c r="L8347">
        <v>114.0492</v>
      </c>
      <c r="M8347">
        <v>4</v>
      </c>
    </row>
    <row r="8348" spans="1:13" x14ac:dyDescent="0.3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v>8361</v>
      </c>
      <c r="C8362" t="s">
        <v>1150</v>
      </c>
      <c r="D8362" t="s">
        <v>41</v>
      </c>
      <c r="E8362">
        <v>2018</v>
      </c>
      <c r="F8362" t="s">
        <v>44</v>
      </c>
      <c r="G8362" t="s">
        <v>21</v>
      </c>
      <c r="H8362" t="s">
        <v>15</v>
      </c>
      <c r="I8362" t="s">
        <v>45</v>
      </c>
      <c r="J8362">
        <v>8.8551694E-2</v>
      </c>
      <c r="L8362">
        <v>191.5504</v>
      </c>
      <c r="M8362">
        <v>4</v>
      </c>
    </row>
    <row r="8363" spans="1:13" x14ac:dyDescent="0.3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v>8368</v>
      </c>
      <c r="C8369" t="s">
        <v>671</v>
      </c>
      <c r="D8369" t="s">
        <v>41</v>
      </c>
      <c r="E8369">
        <v>2018</v>
      </c>
      <c r="F8369" t="s">
        <v>44</v>
      </c>
      <c r="G8369" t="s">
        <v>21</v>
      </c>
      <c r="H8369" t="s">
        <v>15</v>
      </c>
      <c r="I8369" t="s">
        <v>45</v>
      </c>
      <c r="J8369">
        <v>2.6938317E-2</v>
      </c>
      <c r="L8369">
        <v>174.1396</v>
      </c>
      <c r="M8369">
        <v>4</v>
      </c>
    </row>
    <row r="8370" spans="1:13" x14ac:dyDescent="0.3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v>8374</v>
      </c>
      <c r="C8375" t="s">
        <v>741</v>
      </c>
      <c r="D8375" t="s">
        <v>41</v>
      </c>
      <c r="E8375">
        <v>2018</v>
      </c>
      <c r="F8375" t="s">
        <v>44</v>
      </c>
      <c r="G8375" t="s">
        <v>21</v>
      </c>
      <c r="H8375" t="s">
        <v>15</v>
      </c>
      <c r="I8375" t="s">
        <v>45</v>
      </c>
      <c r="J8375">
        <v>0</v>
      </c>
      <c r="L8375">
        <v>115.2176</v>
      </c>
      <c r="M8375">
        <v>4</v>
      </c>
    </row>
    <row r="8376" spans="1:13" x14ac:dyDescent="0.3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v>8381</v>
      </c>
      <c r="C8382" t="s">
        <v>995</v>
      </c>
      <c r="D8382" t="s">
        <v>41</v>
      </c>
      <c r="E8382">
        <v>2018</v>
      </c>
      <c r="F8382" t="s">
        <v>44</v>
      </c>
      <c r="G8382" t="s">
        <v>21</v>
      </c>
      <c r="H8382" t="s">
        <v>15</v>
      </c>
      <c r="I8382" t="s">
        <v>45</v>
      </c>
      <c r="J8382">
        <v>0.176834351</v>
      </c>
      <c r="L8382">
        <v>172.1422</v>
      </c>
      <c r="M8382">
        <v>4</v>
      </c>
    </row>
    <row r="8383" spans="1:13" x14ac:dyDescent="0.35">
      <c r="A8383" t="s">
        <v>17</v>
      </c>
      <c r="B8383">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v>8383</v>
      </c>
      <c r="C8384" t="s">
        <v>1116</v>
      </c>
      <c r="D8384" t="s">
        <v>53</v>
      </c>
      <c r="E8384">
        <v>2018</v>
      </c>
      <c r="F8384" t="s">
        <v>44</v>
      </c>
      <c r="G8384" t="s">
        <v>21</v>
      </c>
      <c r="H8384" t="s">
        <v>15</v>
      </c>
      <c r="I8384" t="s">
        <v>45</v>
      </c>
      <c r="J8384">
        <v>3.9370913E-2</v>
      </c>
      <c r="L8384">
        <v>116.9808</v>
      </c>
      <c r="M8384">
        <v>4</v>
      </c>
    </row>
    <row r="8385" spans="1:13" x14ac:dyDescent="0.35">
      <c r="A8385" t="s">
        <v>17</v>
      </c>
      <c r="B8385">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v>8387</v>
      </c>
      <c r="C8388" t="s">
        <v>1298</v>
      </c>
      <c r="D8388" t="s">
        <v>152</v>
      </c>
      <c r="E8388">
        <v>2018</v>
      </c>
      <c r="F8388" t="s">
        <v>44</v>
      </c>
      <c r="G8388" t="s">
        <v>21</v>
      </c>
      <c r="H8388" t="s">
        <v>15</v>
      </c>
      <c r="I8388" t="s">
        <v>45</v>
      </c>
      <c r="J8388">
        <v>0</v>
      </c>
      <c r="L8388">
        <v>109.45959999999999</v>
      </c>
      <c r="M8388">
        <v>4</v>
      </c>
    </row>
    <row r="8389" spans="1:13" x14ac:dyDescent="0.3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v>8390</v>
      </c>
      <c r="C8391" t="s">
        <v>468</v>
      </c>
      <c r="D8391" t="s">
        <v>47</v>
      </c>
      <c r="E8391">
        <v>2018</v>
      </c>
      <c r="F8391" t="s">
        <v>44</v>
      </c>
      <c r="G8391" t="s">
        <v>21</v>
      </c>
      <c r="H8391" t="s">
        <v>15</v>
      </c>
      <c r="I8391" t="s">
        <v>45</v>
      </c>
      <c r="J8391">
        <v>9.3217569E-2</v>
      </c>
      <c r="L8391">
        <v>116.7834</v>
      </c>
      <c r="M8391">
        <v>4</v>
      </c>
    </row>
    <row r="8392" spans="1:13" x14ac:dyDescent="0.35">
      <c r="A8392" t="s">
        <v>17</v>
      </c>
      <c r="B8392">
        <v>8391</v>
      </c>
      <c r="C8392" t="s">
        <v>1041</v>
      </c>
      <c r="D8392" t="s">
        <v>47</v>
      </c>
      <c r="E8392">
        <v>2018</v>
      </c>
      <c r="F8392" t="s">
        <v>44</v>
      </c>
      <c r="G8392" t="s">
        <v>21</v>
      </c>
      <c r="H8392" t="s">
        <v>15</v>
      </c>
      <c r="I8392" t="s">
        <v>45</v>
      </c>
      <c r="J8392">
        <v>0</v>
      </c>
      <c r="L8392">
        <v>44.142800000000001</v>
      </c>
      <c r="M8392">
        <v>4</v>
      </c>
    </row>
    <row r="8393" spans="1:13" x14ac:dyDescent="0.3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v>8398</v>
      </c>
      <c r="C8399" t="s">
        <v>614</v>
      </c>
      <c r="D8399" t="s">
        <v>47</v>
      </c>
      <c r="E8399">
        <v>2018</v>
      </c>
      <c r="F8399" t="s">
        <v>44</v>
      </c>
      <c r="G8399" t="s">
        <v>21</v>
      </c>
      <c r="H8399" t="s">
        <v>15</v>
      </c>
      <c r="I8399" t="s">
        <v>45</v>
      </c>
      <c r="J8399">
        <v>3.6213953E-2</v>
      </c>
      <c r="L8399">
        <v>92.5488</v>
      </c>
      <c r="M8399">
        <v>4</v>
      </c>
    </row>
    <row r="8400" spans="1:13" x14ac:dyDescent="0.3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v>8405</v>
      </c>
      <c r="C8406" t="s">
        <v>1600</v>
      </c>
      <c r="D8406" t="s">
        <v>47</v>
      </c>
      <c r="E8406">
        <v>2018</v>
      </c>
      <c r="F8406" t="s">
        <v>44</v>
      </c>
      <c r="G8406" t="s">
        <v>21</v>
      </c>
      <c r="H8406" t="s">
        <v>15</v>
      </c>
      <c r="I8406" t="s">
        <v>45</v>
      </c>
      <c r="J8406">
        <v>0</v>
      </c>
      <c r="L8406">
        <v>151.67080000000001</v>
      </c>
      <c r="M8406">
        <v>4</v>
      </c>
    </row>
    <row r="8407" spans="1:13" x14ac:dyDescent="0.35">
      <c r="A8407" t="s">
        <v>17</v>
      </c>
      <c r="B8407">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v>8408</v>
      </c>
      <c r="C8409" t="s">
        <v>592</v>
      </c>
      <c r="D8409" t="s">
        <v>47</v>
      </c>
      <c r="E8409">
        <v>2018</v>
      </c>
      <c r="F8409" t="s">
        <v>44</v>
      </c>
      <c r="G8409" t="s">
        <v>21</v>
      </c>
      <c r="H8409" t="s">
        <v>15</v>
      </c>
      <c r="I8409" t="s">
        <v>45</v>
      </c>
      <c r="J8409">
        <v>0.13874251800000001</v>
      </c>
      <c r="L8409">
        <v>147.476</v>
      </c>
      <c r="M8409">
        <v>4</v>
      </c>
    </row>
    <row r="8410" spans="1:13" x14ac:dyDescent="0.35">
      <c r="A8410" t="s">
        <v>17</v>
      </c>
      <c r="B8410">
        <v>8409</v>
      </c>
      <c r="C8410" t="s">
        <v>655</v>
      </c>
      <c r="D8410" t="s">
        <v>47</v>
      </c>
      <c r="E8410">
        <v>2018</v>
      </c>
      <c r="F8410" t="s">
        <v>44</v>
      </c>
      <c r="G8410" t="s">
        <v>21</v>
      </c>
      <c r="H8410" t="s">
        <v>15</v>
      </c>
      <c r="I8410" t="s">
        <v>45</v>
      </c>
      <c r="J8410">
        <v>0.102941345</v>
      </c>
      <c r="L8410">
        <v>142.047</v>
      </c>
      <c r="M8410">
        <v>4</v>
      </c>
    </row>
    <row r="8411" spans="1:13" x14ac:dyDescent="0.35">
      <c r="A8411" t="s">
        <v>17</v>
      </c>
      <c r="B841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v>8424</v>
      </c>
      <c r="C8425" t="s">
        <v>833</v>
      </c>
      <c r="D8425" t="s">
        <v>158</v>
      </c>
      <c r="E8425">
        <v>2018</v>
      </c>
      <c r="F8425" t="s">
        <v>44</v>
      </c>
      <c r="G8425" t="s">
        <v>21</v>
      </c>
      <c r="H8425" t="s">
        <v>15</v>
      </c>
      <c r="I8425" t="s">
        <v>45</v>
      </c>
      <c r="J8425">
        <v>0</v>
      </c>
      <c r="L8425">
        <v>167.51580000000001</v>
      </c>
      <c r="M8425">
        <v>4</v>
      </c>
    </row>
    <row r="8426" spans="1:13" x14ac:dyDescent="0.3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v>8432</v>
      </c>
      <c r="C8433" t="s">
        <v>903</v>
      </c>
      <c r="D8433" t="s">
        <v>94</v>
      </c>
      <c r="E8433">
        <v>2018</v>
      </c>
      <c r="F8433" t="s">
        <v>44</v>
      </c>
      <c r="G8433" t="s">
        <v>21</v>
      </c>
      <c r="H8433" t="s">
        <v>15</v>
      </c>
      <c r="I8433" t="s">
        <v>45</v>
      </c>
      <c r="J8433">
        <v>0.10351785300000001</v>
      </c>
      <c r="L8433">
        <v>164.95</v>
      </c>
      <c r="M8433">
        <v>4</v>
      </c>
    </row>
    <row r="8434" spans="1:13" x14ac:dyDescent="0.35">
      <c r="A8434" t="s">
        <v>10</v>
      </c>
      <c r="B8434">
        <v>8433</v>
      </c>
      <c r="C8434" t="s">
        <v>1045</v>
      </c>
      <c r="D8434" t="s">
        <v>56</v>
      </c>
      <c r="E8434">
        <v>2018</v>
      </c>
      <c r="F8434" t="s">
        <v>44</v>
      </c>
      <c r="G8434" t="s">
        <v>21</v>
      </c>
      <c r="H8434" t="s">
        <v>15</v>
      </c>
      <c r="I8434" t="s">
        <v>45</v>
      </c>
      <c r="J8434">
        <v>0</v>
      </c>
      <c r="L8434">
        <v>84.590800000000002</v>
      </c>
      <c r="M8434">
        <v>4</v>
      </c>
    </row>
    <row r="8435" spans="1:13" x14ac:dyDescent="0.3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v>8452</v>
      </c>
      <c r="C8453" t="s">
        <v>396</v>
      </c>
      <c r="D8453" t="s">
        <v>66</v>
      </c>
      <c r="E8453">
        <v>2018</v>
      </c>
      <c r="F8453" t="s">
        <v>44</v>
      </c>
      <c r="G8453" t="s">
        <v>21</v>
      </c>
      <c r="H8453" t="s">
        <v>15</v>
      </c>
      <c r="I8453" t="s">
        <v>45</v>
      </c>
      <c r="J8453">
        <v>0.18240726600000001</v>
      </c>
      <c r="L8453">
        <v>109.157</v>
      </c>
      <c r="M8453">
        <v>4</v>
      </c>
    </row>
    <row r="8454" spans="1:13" x14ac:dyDescent="0.3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v>8456</v>
      </c>
      <c r="C8457" t="s">
        <v>1399</v>
      </c>
      <c r="D8457" t="s">
        <v>66</v>
      </c>
      <c r="E8457">
        <v>2018</v>
      </c>
      <c r="F8457" t="s">
        <v>44</v>
      </c>
      <c r="G8457" t="s">
        <v>21</v>
      </c>
      <c r="H8457" t="s">
        <v>15</v>
      </c>
      <c r="I8457" t="s">
        <v>45</v>
      </c>
      <c r="J8457">
        <v>0</v>
      </c>
      <c r="L8457">
        <v>196.4794</v>
      </c>
      <c r="M8457">
        <v>4</v>
      </c>
    </row>
    <row r="8458" spans="1:13" x14ac:dyDescent="0.35">
      <c r="A8458" t="s">
        <v>10</v>
      </c>
      <c r="B8458">
        <v>8457</v>
      </c>
      <c r="C8458" t="s">
        <v>1307</v>
      </c>
      <c r="D8458" t="s">
        <v>66</v>
      </c>
      <c r="E8458">
        <v>2018</v>
      </c>
      <c r="F8458" t="s">
        <v>44</v>
      </c>
      <c r="G8458" t="s">
        <v>21</v>
      </c>
      <c r="H8458" t="s">
        <v>15</v>
      </c>
      <c r="I8458" t="s">
        <v>45</v>
      </c>
      <c r="J8458">
        <v>0.127108578</v>
      </c>
      <c r="L8458">
        <v>120.744</v>
      </c>
      <c r="M8458">
        <v>4</v>
      </c>
    </row>
    <row r="8459" spans="1:13" x14ac:dyDescent="0.3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v>8463</v>
      </c>
      <c r="C8464" t="s">
        <v>701</v>
      </c>
      <c r="D8464" t="s">
        <v>66</v>
      </c>
      <c r="E8464">
        <v>2018</v>
      </c>
      <c r="F8464" t="s">
        <v>44</v>
      </c>
      <c r="G8464" t="s">
        <v>21</v>
      </c>
      <c r="H8464" t="s">
        <v>15</v>
      </c>
      <c r="I8464" t="s">
        <v>45</v>
      </c>
      <c r="J8464">
        <v>4.7358246E-2</v>
      </c>
      <c r="L8464">
        <v>123.1756</v>
      </c>
      <c r="M8464">
        <v>4</v>
      </c>
    </row>
    <row r="8465" spans="1:13" x14ac:dyDescent="0.35">
      <c r="A8465" t="s">
        <v>10</v>
      </c>
      <c r="B8465">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v>8470</v>
      </c>
      <c r="C8471" t="s">
        <v>1486</v>
      </c>
      <c r="D8471" t="s">
        <v>24</v>
      </c>
      <c r="E8471">
        <v>2018</v>
      </c>
      <c r="F8471" t="s">
        <v>44</v>
      </c>
      <c r="G8471" t="s">
        <v>21</v>
      </c>
      <c r="H8471" t="s">
        <v>15</v>
      </c>
      <c r="I8471" t="s">
        <v>45</v>
      </c>
      <c r="J8471">
        <v>0</v>
      </c>
      <c r="L8471">
        <v>145.27600000000001</v>
      </c>
      <c r="M8471">
        <v>4</v>
      </c>
    </row>
    <row r="8472" spans="1:13" x14ac:dyDescent="0.3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v>8474</v>
      </c>
      <c r="C8475" t="s">
        <v>339</v>
      </c>
      <c r="D8475" t="s">
        <v>24</v>
      </c>
      <c r="E8475">
        <v>2018</v>
      </c>
      <c r="F8475" t="s">
        <v>44</v>
      </c>
      <c r="G8475" t="s">
        <v>21</v>
      </c>
      <c r="H8475" t="s">
        <v>15</v>
      </c>
      <c r="I8475" t="s">
        <v>45</v>
      </c>
      <c r="J8475">
        <v>0.159081735</v>
      </c>
      <c r="L8475">
        <v>193.5478</v>
      </c>
      <c r="M8475">
        <v>4</v>
      </c>
    </row>
    <row r="8476" spans="1:13" x14ac:dyDescent="0.35">
      <c r="A8476" t="s">
        <v>10</v>
      </c>
      <c r="B8476">
        <v>8475</v>
      </c>
      <c r="C8476" t="s">
        <v>1156</v>
      </c>
      <c r="D8476" t="s">
        <v>12</v>
      </c>
      <c r="E8476">
        <v>2018</v>
      </c>
      <c r="F8476" t="s">
        <v>44</v>
      </c>
      <c r="G8476" t="s">
        <v>21</v>
      </c>
      <c r="H8476" t="s">
        <v>15</v>
      </c>
      <c r="I8476" t="s">
        <v>45</v>
      </c>
      <c r="J8476">
        <v>3.0794774E-2</v>
      </c>
      <c r="L8476">
        <v>122.9072</v>
      </c>
      <c r="M8476">
        <v>4</v>
      </c>
    </row>
    <row r="8477" spans="1:13" x14ac:dyDescent="0.3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v>8479</v>
      </c>
      <c r="C8480" t="s">
        <v>1535</v>
      </c>
      <c r="D8480" t="s">
        <v>12</v>
      </c>
      <c r="E8480">
        <v>2018</v>
      </c>
      <c r="F8480" t="s">
        <v>44</v>
      </c>
      <c r="G8480" t="s">
        <v>21</v>
      </c>
      <c r="H8480" t="s">
        <v>15</v>
      </c>
      <c r="I8480" t="s">
        <v>45</v>
      </c>
      <c r="J8480">
        <v>0.106538757</v>
      </c>
      <c r="L8480">
        <v>145.4786</v>
      </c>
      <c r="M8480">
        <v>4</v>
      </c>
    </row>
    <row r="8481" spans="1:13" x14ac:dyDescent="0.3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v>8484</v>
      </c>
      <c r="C8485" t="s">
        <v>580</v>
      </c>
      <c r="D8485" t="s">
        <v>12</v>
      </c>
      <c r="E8485">
        <v>2018</v>
      </c>
      <c r="F8485" t="s">
        <v>44</v>
      </c>
      <c r="G8485" t="s">
        <v>21</v>
      </c>
      <c r="H8485" t="s">
        <v>15</v>
      </c>
      <c r="I8485" t="s">
        <v>45</v>
      </c>
      <c r="J8485">
        <v>0.115032648</v>
      </c>
      <c r="L8485">
        <v>58.0246</v>
      </c>
      <c r="M8485">
        <v>4</v>
      </c>
    </row>
    <row r="8486" spans="1:13" x14ac:dyDescent="0.3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v>8492</v>
      </c>
      <c r="C8493" t="s">
        <v>1012</v>
      </c>
      <c r="D8493" t="s">
        <v>53</v>
      </c>
      <c r="E8493">
        <v>2018</v>
      </c>
      <c r="F8493" t="s">
        <v>44</v>
      </c>
      <c r="G8493" t="s">
        <v>21</v>
      </c>
      <c r="H8493" t="s">
        <v>15</v>
      </c>
      <c r="I8493" t="s">
        <v>45</v>
      </c>
      <c r="J8493">
        <v>0.157701958</v>
      </c>
      <c r="L8493">
        <v>158.7946</v>
      </c>
      <c r="M8493">
        <v>4</v>
      </c>
    </row>
    <row r="8494" spans="1:13" x14ac:dyDescent="0.3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v>8519</v>
      </c>
      <c r="C8520" t="s">
        <v>236</v>
      </c>
      <c r="D8520" t="s">
        <v>19</v>
      </c>
      <c r="E8520">
        <v>2018</v>
      </c>
      <c r="F8520" t="s">
        <v>44</v>
      </c>
      <c r="G8520" t="s">
        <v>21</v>
      </c>
      <c r="H8520" t="s">
        <v>15</v>
      </c>
      <c r="I8520" t="s">
        <v>45</v>
      </c>
      <c r="J8520">
        <v>0</v>
      </c>
      <c r="L8520">
        <v>164.55260000000001</v>
      </c>
      <c r="M8520">
        <v>4</v>
      </c>
    </row>
    <row r="8521" spans="1:13" x14ac:dyDescent="0.3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vijaya lakshmi usirikayala</cp:lastModifiedBy>
  <dcterms:created xsi:type="dcterms:W3CDTF">2024-06-23T13:11:17Z</dcterms:created>
  <dcterms:modified xsi:type="dcterms:W3CDTF">2025-12-28T13:37:00Z</dcterms:modified>
</cp:coreProperties>
</file>